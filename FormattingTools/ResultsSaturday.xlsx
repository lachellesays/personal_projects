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aw Results" sheetId="1" r:id="rId4"/>
    <sheet name="Measurements" sheetId="2" r:id="rId5"/>
    <sheet name="Masters Scoring" sheetId="3" r:id="rId6"/>
    <sheet name="Masters Byes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<sst xmlns="http://schemas.openxmlformats.org/spreadsheetml/2006/main" uniqueCount="233">
  <si>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Show ID</t>
  </si>
  <si>
    <t>Level</t>
  </si>
  <si>
    <t>Class</t>
  </si>
  <si>
    <t>Height</t>
  </si>
  <si>
    <t>Date</t>
  </si>
  <si>
    <t>Member ID</t>
  </si>
  <si>
    <t>Member Name</t>
  </si>
  <si>
    <t>Dog ID</t>
  </si>
  <si>
    <t>Dog Name</t>
  </si>
  <si>
    <t>Breed</t>
  </si>
  <si>
    <t>SCT</t>
  </si>
  <si>
    <t>Faults</t>
  </si>
  <si>
    <t>Games Points</t>
  </si>
  <si>
    <t>Time</t>
  </si>
  <si>
    <t>Place</t>
  </si>
  <si>
    <t>Level Points</t>
  </si>
  <si>
    <t>Beginner</t>
  </si>
  <si>
    <t xml:space="preserve">Agility </t>
  </si>
  <si>
    <t xml:space="preserve">12 inch </t>
  </si>
  <si>
    <t>6/6/2026</t>
  </si>
  <si>
    <t>Adriana Johnson-Sol</t>
  </si>
  <si>
    <t>Mabel</t>
  </si>
  <si>
    <t>English Cocker Spaniel</t>
  </si>
  <si>
    <t>12 inch (s)</t>
  </si>
  <si>
    <t>Hillary Pullen</t>
  </si>
  <si>
    <t>Rhett</t>
  </si>
  <si>
    <t>Shetland Sheepdog</t>
  </si>
  <si>
    <t>E</t>
  </si>
  <si>
    <t>Paulette McElwain</t>
  </si>
  <si>
    <t>Fizz</t>
  </si>
  <si>
    <t xml:space="preserve">20 inch </t>
  </si>
  <si>
    <t>Kendra Lengua</t>
  </si>
  <si>
    <t>Duncan</t>
  </si>
  <si>
    <t>German Shorthaired Pointer</t>
  </si>
  <si>
    <t>20 inch (s)</t>
  </si>
  <si>
    <t>Amanda Florakis</t>
  </si>
  <si>
    <t>Rumor</t>
  </si>
  <si>
    <t>Doberman Pinscher</t>
  </si>
  <si>
    <t>Champ</t>
  </si>
  <si>
    <t>16 inch (s)</t>
  </si>
  <si>
    <t>Kamrin Cierpiszewski</t>
  </si>
  <si>
    <t>Tequila</t>
  </si>
  <si>
    <t>Border Collie</t>
  </si>
  <si>
    <t>Maryanne Borowski</t>
  </si>
  <si>
    <t>Zephyr</t>
  </si>
  <si>
    <t>Lachelle Henderson</t>
  </si>
  <si>
    <t>Hutton</t>
  </si>
  <si>
    <t>Maddie Speagle</t>
  </si>
  <si>
    <t>Cara</t>
  </si>
  <si>
    <t>Pam Schiffleger</t>
  </si>
  <si>
    <t>Storm</t>
  </si>
  <si>
    <t xml:space="preserve">22 inch </t>
  </si>
  <si>
    <t>Paulena Renee Simpson</t>
  </si>
  <si>
    <t>Smart As</t>
  </si>
  <si>
    <t>ABS</t>
  </si>
  <si>
    <t xml:space="preserve">24 inch </t>
  </si>
  <si>
    <t>Last Laugh</t>
  </si>
  <si>
    <t>Merritt Speagle</t>
  </si>
  <si>
    <t>Surefire</t>
  </si>
  <si>
    <t>4 inch (s)</t>
  </si>
  <si>
    <t>Kim Black</t>
  </si>
  <si>
    <t>Caisson</t>
  </si>
  <si>
    <t>Miniature American Shepherd</t>
  </si>
  <si>
    <t xml:space="preserve">8 inch </t>
  </si>
  <si>
    <t>Rip</t>
  </si>
  <si>
    <t>Novice</t>
  </si>
  <si>
    <t>Betsy Newsome</t>
  </si>
  <si>
    <t>Buddy</t>
  </si>
  <si>
    <t>Miniature poodle</t>
  </si>
  <si>
    <t>Bridget Isele</t>
  </si>
  <si>
    <t>Bannah</t>
  </si>
  <si>
    <t>Crossbreed</t>
  </si>
  <si>
    <t>Suzanne Green</t>
  </si>
  <si>
    <t>Murphy</t>
  </si>
  <si>
    <t>All American</t>
  </si>
  <si>
    <t>Palladium</t>
  </si>
  <si>
    <t>Ashley Walker</t>
  </si>
  <si>
    <t>Ember</t>
  </si>
  <si>
    <t>Cavalier King Charles Spaniel</t>
  </si>
  <si>
    <t>8 inch (s)</t>
  </si>
  <si>
    <t>Wild Card</t>
  </si>
  <si>
    <t>Border Collie/Toy Aussie</t>
  </si>
  <si>
    <t>Senior</t>
  </si>
  <si>
    <t>Ava</t>
  </si>
  <si>
    <t>Poodle-Miniature</t>
  </si>
  <si>
    <t>Lester VanWinkle</t>
  </si>
  <si>
    <t>Rita</t>
  </si>
  <si>
    <t>Miniature Poodle</t>
  </si>
  <si>
    <t>Donna VanWinkle</t>
  </si>
  <si>
    <t>Wimsey</t>
  </si>
  <si>
    <t>Levin</t>
  </si>
  <si>
    <t>Scott Hudson</t>
  </si>
  <si>
    <t>Theo</t>
  </si>
  <si>
    <t>Agility 2</t>
  </si>
  <si>
    <t>Holly Hale</t>
  </si>
  <si>
    <t>Suri</t>
  </si>
  <si>
    <t>Promisekeeper</t>
  </si>
  <si>
    <t xml:space="preserve">Gamblers </t>
  </si>
  <si>
    <t>Trek</t>
  </si>
  <si>
    <t xml:space="preserve">Jumping </t>
  </si>
  <si>
    <t>Nina Cosgriff</t>
  </si>
  <si>
    <t>Leia</t>
  </si>
  <si>
    <t>Australian Kelpie</t>
  </si>
  <si>
    <t>Bodhi</t>
  </si>
  <si>
    <t>Watch Out!</t>
  </si>
  <si>
    <t>NFC</t>
  </si>
  <si>
    <t>Heist</t>
  </si>
  <si>
    <t>Teri Partington</t>
  </si>
  <si>
    <t>Tag</t>
  </si>
  <si>
    <t>Jumping 2</t>
  </si>
  <si>
    <t>Karen Hazelgrove</t>
  </si>
  <si>
    <t>Watts</t>
  </si>
  <si>
    <t>Cavalier king Charles Spaniel</t>
  </si>
  <si>
    <t>Moon</t>
  </si>
  <si>
    <t xml:space="preserve">Snooker </t>
  </si>
  <si>
    <t xml:space="preserve">Speedstakes </t>
  </si>
  <si>
    <t>Rocket</t>
  </si>
  <si>
    <t xml:space="preserve">16 inch </t>
  </si>
  <si>
    <t>Amy Shankle</t>
  </si>
  <si>
    <t>Maera</t>
  </si>
  <si>
    <t>Australian Cattle Dog</t>
  </si>
  <si>
    <t>Natalie Pedraja</t>
  </si>
  <si>
    <t>Yadi</t>
  </si>
  <si>
    <t>Pomeranian</t>
  </si>
  <si>
    <t>Tsunami</t>
  </si>
  <si>
    <t>Belgian Malinois</t>
  </si>
  <si>
    <t>Christina Williamson</t>
  </si>
  <si>
    <t>Pi</t>
  </si>
  <si>
    <t>6/7/2026</t>
  </si>
  <si>
    <t>Marie Tripton</t>
  </si>
  <si>
    <t>Avalanche</t>
  </si>
  <si>
    <t>Tracy Gruis</t>
  </si>
  <si>
    <t>Apricus</t>
  </si>
  <si>
    <t>Elizabeth Abate</t>
  </si>
  <si>
    <t>Sundae</t>
  </si>
  <si>
    <t>Papillon</t>
  </si>
  <si>
    <t>Rebecca Oates</t>
  </si>
  <si>
    <t>Erika Bebout</t>
  </si>
  <si>
    <t>Frizzle</t>
  </si>
  <si>
    <t>Courtney Iannello</t>
  </si>
  <si>
    <t>Mucca</t>
  </si>
  <si>
    <t>Andrea Ballou</t>
  </si>
  <si>
    <t>Scrumpy</t>
  </si>
  <si>
    <t>Beth Grooms</t>
  </si>
  <si>
    <t>Deacon</t>
  </si>
  <si>
    <t>Labrador Retriever</t>
  </si>
  <si>
    <t>Samantha Kemp</t>
  </si>
  <si>
    <t>Riddle</t>
  </si>
  <si>
    <t>Nikki Gambhir</t>
  </si>
  <si>
    <t>Oakley</t>
  </si>
  <si>
    <t>Kipo</t>
  </si>
  <si>
    <t>Jean Wilber</t>
  </si>
  <si>
    <t>Molly</t>
  </si>
  <si>
    <t>Teacup Schnauzer</t>
  </si>
  <si>
    <t xml:space="preserve">Masters Agility </t>
  </si>
  <si>
    <t>Tamara Glaser</t>
  </si>
  <si>
    <t>Stunner</t>
  </si>
  <si>
    <t>MAS</t>
  </si>
  <si>
    <t xml:space="preserve">Masters Jumping </t>
  </si>
  <si>
    <t>True</t>
  </si>
  <si>
    <t>Doberman pinscher</t>
  </si>
  <si>
    <t>Summer Lee</t>
  </si>
  <si>
    <t>Sooie</t>
  </si>
  <si>
    <t>Golden Retriever</t>
  </si>
  <si>
    <t>Kelsey French</t>
  </si>
  <si>
    <t>Willow</t>
  </si>
  <si>
    <t xml:space="preserve">All American </t>
  </si>
  <si>
    <t>George</t>
  </si>
  <si>
    <t>Rhodesian Ridgeback</t>
  </si>
  <si>
    <t>JoAnn Burtness</t>
  </si>
  <si>
    <t>TeQuila</t>
  </si>
  <si>
    <t>Poodle mini</t>
  </si>
  <si>
    <t>Speedstakes 2</t>
  </si>
  <si>
    <t>Handler Number</t>
  </si>
  <si>
    <t>Handler Name</t>
  </si>
  <si>
    <t>Dog Number</t>
  </si>
  <si>
    <t>Height entered</t>
  </si>
  <si>
    <t>Temporary Measure or Permanent</t>
  </si>
  <si>
    <t>Dogs Age</t>
  </si>
  <si>
    <t>Measurement  in inches</t>
  </si>
  <si>
    <t xml:space="preserve">Organization name if used for temporary measure </t>
  </si>
  <si>
    <t>UKI Measuring Official Name</t>
  </si>
  <si>
    <t>Notes</t>
  </si>
  <si>
    <t>12 inch</t>
  </si>
  <si>
    <t>T</t>
  </si>
  <si>
    <t>18 mo</t>
  </si>
  <si>
    <t>Measurement</t>
  </si>
  <si>
    <t>16 inch(s)</t>
  </si>
  <si>
    <t>15 mo</t>
  </si>
  <si>
    <t>Sarah Crane</t>
  </si>
  <si>
    <t>12 inch(s)</t>
  </si>
  <si>
    <t>23 mo</t>
  </si>
  <si>
    <t>16 inch</t>
  </si>
  <si>
    <t>P</t>
  </si>
  <si>
    <t>3 yr</t>
  </si>
  <si>
    <t>8 inch</t>
  </si>
  <si>
    <t>24 mo</t>
  </si>
  <si>
    <t>Temporary or Permanent column must be completed</t>
  </si>
  <si>
    <t>Please refer to page 26 of the UKI 10th Edition Rule Book</t>
  </si>
  <si>
    <t>Measurements will only be uploaded with dog's ID number</t>
  </si>
  <si>
    <t xml:space="preserve">If the dog ID is not provided, the </t>
  </si>
  <si>
    <t>measurement will not be recorded.</t>
  </si>
  <si>
    <r>
      <t xml:space="preserve">Only use a number ie. </t>
    </r>
    <r>
      <rPr>
        <rFont val="Calibri"/>
        <b val="true"/>
        <i val="false"/>
        <strike val="false"/>
        <color rgb="FF006100"/>
        <sz val="11"/>
        <u val="none"/>
      </rPr>
      <t xml:space="preserve">15.75 </t>
    </r>
    <r>
      <rPr>
        <rFont val="Calibri"/>
        <b val="false"/>
        <i val="false"/>
        <strike val="false"/>
        <color rgb="FF006100"/>
        <sz val="11"/>
        <u val="none"/>
      </rPr>
      <t xml:space="preserve">in Column G</t>
    </r>
  </si>
  <si>
    <t>no words 15 3/4 inch, nor 15.75", not 15 3/4</t>
  </si>
  <si>
    <t xml:space="preserve">For all E's enter 100 faults with the SCT in time. For no shows enter 1000 faults with the SCT in time.  </t>
  </si>
  <si>
    <t>For all clear rounds enter 0 in the faults column. Enter all faults whether time or course faults into the faults column.</t>
  </si>
  <si>
    <t>Example: If the SCT is 40 seconds, and the dog runs the course in 41.5 seconds, 1.50 should be entered into the faults column.</t>
  </si>
  <si>
    <t>Enter faults and time for both rounds - formulas will automatically calculate "totals" for the individual classes and the combined result</t>
  </si>
  <si>
    <t xml:space="preserve">To Sort overal, highlight all rows from row 8 down.  Click custom sort.  Make sure"My data has headers" is ticked. </t>
  </si>
  <si>
    <t xml:space="preserve">Sort by Height &amp; Overall total .(smallest to largest). </t>
  </si>
  <si>
    <t xml:space="preserve">Masters </t>
  </si>
  <si>
    <t>Jumping</t>
  </si>
  <si>
    <t>Agility</t>
  </si>
  <si>
    <t>Overall</t>
  </si>
  <si>
    <t>HandlerID</t>
  </si>
  <si>
    <t>HandlerName</t>
  </si>
  <si>
    <t>DogID</t>
  </si>
  <si>
    <t>DogName</t>
  </si>
  <si>
    <t>Total</t>
  </si>
  <si>
    <t xml:space="preserve">Time </t>
  </si>
  <si>
    <t>Total Faults</t>
  </si>
  <si>
    <t>Total Time</t>
  </si>
  <si>
    <t>Overall Total</t>
  </si>
  <si>
    <t>Prize $</t>
  </si>
  <si>
    <t>4 inch(s)</t>
  </si>
  <si>
    <t>8 inch(s)</t>
  </si>
  <si>
    <t>20 inch</t>
  </si>
  <si>
    <t>20 inch(s)</t>
  </si>
  <si>
    <t>22 inch</t>
  </si>
  <si>
    <t>24 inch</t>
  </si>
  <si>
    <t>Jump Height</t>
  </si>
  <si>
    <t>Handler #</t>
  </si>
  <si>
    <t>Dog #</t>
  </si>
</sst>
</file>

<file path=xl/styles.xml><?xml version="1.0" encoding="utf-8"?>
<styleSheet xmlns="http://schemas.openxmlformats.org/spreadsheetml/2006/main" xml:space="preserve">
  <numFmts count="1">
    <numFmt numFmtId="164" formatCode="mm/dd/yyyy"/>
  </numFmts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Arial"/>
    </font>
    <font>
      <b val="0"/>
      <i val="1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61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1"/>
      <strike val="0"/>
      <u val="none"/>
      <sz val="11"/>
      <color rgb="FFFF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9DCE1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6EFCE"/>
        <bgColor rgb="FF000000"/>
      </patternFill>
    </fill>
  </fills>
  <borders count="22">
    <border/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bottom" textRotation="0" wrapText="true" shrinkToFit="false"/>
    </xf>
    <xf xfId="0" fontId="4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3" applyFont="1" applyNumberFormat="0" applyFill="0" applyBorder="1" applyAlignment="1">
      <alignment horizontal="center" vertical="bottom" textRotation="0" wrapText="false" shrinkToFit="false"/>
    </xf>
    <xf xfId="0" fontId="6" numFmtId="0" fillId="2" borderId="4" applyFont="1" applyNumberFormat="0" applyFill="0" applyBorder="1" applyAlignment="1">
      <alignment horizontal="center" vertical="bottom" textRotation="0" wrapText="false" shrinkToFit="false"/>
    </xf>
    <xf xfId="0" fontId="6" numFmtId="0" fillId="3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6" applyFont="1" applyNumberFormat="0" applyFill="0" applyBorder="1" applyAlignment="1">
      <alignment horizontal="center" vertical="bottom" textRotation="0" wrapText="false" shrinkToFit="false"/>
    </xf>
    <xf xfId="0" fontId="6" numFmtId="0" fillId="3" borderId="6" applyFont="1" applyNumberFormat="0" applyFill="1" applyBorder="1" applyAlignment="1">
      <alignment horizontal="center" vertical="bottom" textRotation="0" wrapText="false" shrinkToFit="false"/>
    </xf>
    <xf xfId="0" fontId="6" numFmtId="0" fillId="2" borderId="7" applyFont="1" applyNumberFormat="0" applyFill="0" applyBorder="1" applyAlignment="1">
      <alignment horizontal="center" vertical="bottom" textRotation="0" wrapText="false" shrinkToFit="false"/>
    </xf>
    <xf xfId="0" fontId="6" numFmtId="0" fillId="2" borderId="8" applyFont="1" applyNumberFormat="0" applyFill="0" applyBorder="1" applyAlignment="1">
      <alignment horizontal="center" vertical="bottom" textRotation="0" wrapText="false" shrinkToFit="false"/>
    </xf>
    <xf xfId="0" fontId="6" numFmtId="0" fillId="2" borderId="9" applyFont="1" applyNumberFormat="0" applyFill="0" applyBorder="1" applyAlignment="1">
      <alignment horizontal="center" vertical="bottom" textRotation="0" wrapText="false" shrinkToFit="false"/>
    </xf>
    <xf xfId="0" fontId="6" numFmtId="0" fillId="2" borderId="10" applyFont="1" applyNumberFormat="0" applyFill="0" applyBorder="1" applyAlignment="1">
      <alignment horizontal="center" vertical="bottom" textRotation="0" wrapText="false" shrinkToFit="false"/>
    </xf>
    <xf xfId="0" fontId="7" numFmtId="0" fillId="2" borderId="11" applyFont="1" applyNumberFormat="0" applyFill="0" applyBorder="1" applyAlignment="1">
      <alignment horizontal="right" vertical="bottom" textRotation="0" wrapText="true" shrinkToFit="false"/>
    </xf>
    <xf xfId="0" fontId="7" numFmtId="0" fillId="2" borderId="10" applyFont="1" applyNumberFormat="0" applyFill="0" applyBorder="1" applyAlignment="1">
      <alignment horizontal="general" vertical="bottom" textRotation="0" wrapText="true" shrinkToFit="false"/>
    </xf>
    <xf xfId="0" fontId="7" numFmtId="0" fillId="2" borderId="11" applyFont="1" applyNumberFormat="0" applyFill="0" applyBorder="1" applyAlignment="1">
      <alignment horizontal="general" vertical="bottom" textRotation="0" wrapText="true" shrinkToFit="false"/>
    </xf>
    <xf xfId="0" fontId="7" numFmtId="0" fillId="2" borderId="12" applyFont="1" applyNumberFormat="0" applyFill="0" applyBorder="1" applyAlignment="1">
      <alignment horizontal="general" vertical="bottom" textRotation="0" wrapText="true" shrinkToFit="false"/>
    </xf>
    <xf xfId="0" fontId="1" numFmtId="0" fillId="2" borderId="0" applyFont="1" applyNumberFormat="0" applyFill="0" applyBorder="0" applyAlignment="1">
      <alignment horizontal="general" vertical="bottom" textRotation="0" wrapText="false" shrinkToFit="true"/>
    </xf>
    <xf xfId="0" fontId="0" numFmtId="0" fillId="2" borderId="0" applyFont="0" applyNumberFormat="0" applyFill="0" applyBorder="0" applyAlignment="1">
      <alignment horizontal="general" vertical="bottom" textRotation="0" wrapText="false" shrinkToFit="true"/>
    </xf>
    <xf xfId="0" fontId="7" numFmtId="0" fillId="2" borderId="11" applyFont="1" applyNumberFormat="0" applyFill="0" applyBorder="1" applyAlignment="0">
      <alignment horizontal="general" vertical="bottom" textRotation="0" wrapText="false" shrinkToFit="false"/>
    </xf>
    <xf xfId="0" fontId="7" numFmtId="0" fillId="2" borderId="10" applyFont="1" applyNumberFormat="0" applyFill="0" applyBorder="1" applyAlignment="1">
      <alignment horizontal="center" vertical="bottom" textRotation="0" wrapText="false" shrinkToFit="false"/>
    </xf>
    <xf xfId="0" fontId="7" numFmtId="0" fillId="2" borderId="10" applyFont="1" applyNumberFormat="0" applyFill="0" applyBorder="1" applyAlignment="0">
      <alignment horizontal="general" vertical="bottom" textRotation="0" wrapText="false" shrinkToFit="false"/>
    </xf>
    <xf xfId="0" fontId="7" numFmtId="0" fillId="2" borderId="13" applyFont="1" applyNumberFormat="0" applyFill="0" applyBorder="1" applyAlignment="0">
      <alignment horizontal="general" vertical="bottom" textRotation="0" wrapText="false" shrinkToFit="false"/>
    </xf>
    <xf xfId="0" fontId="7" numFmtId="0" fillId="3" borderId="12" applyFont="1" applyNumberFormat="0" applyFill="1" applyBorder="1" applyAlignment="1">
      <alignment horizontal="center" vertical="bottom" textRotation="0" wrapText="false" shrinkToFit="false"/>
    </xf>
    <xf xfId="0" fontId="7" numFmtId="0" fillId="2" borderId="14" applyFont="1" applyNumberFormat="0" applyFill="0" applyBorder="1" applyAlignment="0">
      <alignment horizontal="general" vertical="bottom" textRotation="0" wrapText="false" shrinkToFit="false"/>
    </xf>
    <xf xfId="0" fontId="7" numFmtId="0" fillId="3" borderId="14" applyFont="1" applyNumberFormat="0" applyFill="1" applyBorder="1" applyAlignment="1">
      <alignment horizontal="center" vertical="bottom" textRotation="0" wrapText="false" shrinkToFit="false"/>
    </xf>
    <xf xfId="0" fontId="7" numFmtId="0" fillId="2" borderId="13" applyFont="1" applyNumberFormat="0" applyFill="0" applyBorder="1" applyAlignment="0">
      <alignment horizontal="general" vertical="bottom" textRotation="0" wrapText="false" shrinkToFit="false"/>
    </xf>
    <xf xfId="0" fontId="7" numFmtId="0" fillId="2" borderId="15" applyFont="1" applyNumberFormat="0" applyFill="0" applyBorder="1" applyAlignment="0">
      <alignment horizontal="general" vertical="bottom" textRotation="0" wrapText="false" shrinkToFit="false"/>
    </xf>
    <xf xfId="0" fontId="7" numFmtId="0" fillId="2" borderId="10" applyFont="1" applyNumberFormat="0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7" numFmtId="0" fillId="2" borderId="10" applyFont="1" applyNumberFormat="0" applyFill="0" applyBorder="1" applyAlignment="1">
      <alignment horizontal="center" vertical="bottom" textRotation="0" wrapText="false" shrinkToFit="false"/>
    </xf>
    <xf xfId="0" fontId="7" numFmtId="0" fillId="3" borderId="12" applyFont="1" applyNumberFormat="0" applyFill="1" applyBorder="1" applyAlignment="1">
      <alignment horizontal="center" vertical="bottom" textRotation="0" wrapText="false" shrinkToFit="false"/>
    </xf>
    <xf xfId="0" fontId="7" numFmtId="0" fillId="2" borderId="11" applyFont="1" applyNumberFormat="0" applyFill="0" applyBorder="1" applyAlignment="0">
      <alignment horizontal="general" vertical="bottom" textRotation="0" wrapText="false" shrinkToFit="false"/>
    </xf>
    <xf xfId="0" fontId="7" numFmtId="0" fillId="2" borderId="12" applyFont="1" applyNumberFormat="0" applyFill="0" applyBorder="1" applyAlignment="0">
      <alignment horizontal="general" vertical="bottom" textRotation="0" wrapText="false" shrinkToFit="false"/>
    </xf>
    <xf xfId="0" fontId="7" numFmtId="0" fillId="2" borderId="14" applyFont="1" applyNumberFormat="0" applyFill="0" applyBorder="1" applyAlignment="0">
      <alignment horizontal="general" vertical="bottom" textRotation="0" wrapText="false" shrinkToFit="false"/>
    </xf>
    <xf xfId="0" fontId="8" numFmtId="0" fillId="2" borderId="10" applyFont="1" applyNumberFormat="0" applyFill="0" applyBorder="1" applyAlignment="0">
      <alignment horizontal="general" vertical="bottom" textRotation="0" wrapText="false" shrinkToFit="false"/>
    </xf>
    <xf xfId="0" fontId="2" numFmtId="0" fillId="2" borderId="10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10" applyFont="1" applyNumberFormat="0" applyFill="0" applyBorder="1" applyAlignment="0">
      <alignment horizontal="general" vertical="bottom" textRotation="0" wrapText="false" shrinkToFit="false"/>
    </xf>
    <xf xfId="0" fontId="8" numFmtId="0" fillId="2" borderId="10" applyFont="1" applyNumberFormat="0" applyFill="0" applyBorder="1" applyAlignment="1">
      <alignment horizontal="general" vertical="bottom" textRotation="0" wrapText="true" shrinkToFit="false"/>
    </xf>
    <xf xfId="0" fontId="9" numFmtId="0" fillId="2" borderId="0" applyFont="1" applyNumberFormat="0" applyFill="0" applyBorder="0" applyAlignment="0">
      <alignment horizontal="general" vertical="bottom" textRotation="0" wrapText="false" shrinkToFit="false"/>
    </xf>
    <xf xfId="0" fontId="9" numFmtId="0" fillId="2" borderId="11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true" shrinkToFit="false"/>
    </xf>
    <xf xfId="0" fontId="1" numFmtId="2" fillId="2" borderId="0" applyFont="1" applyNumberFormat="1" applyFill="0" applyBorder="0" applyAlignment="1">
      <alignment horizontal="center" vertical="bottom" textRotation="0" wrapText="true" shrinkToFit="false"/>
    </xf>
    <xf xfId="0" fontId="1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2" fillId="2" borderId="0" applyFont="0" applyNumberFormat="1" applyFill="0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2" fillId="4" borderId="0" applyFont="0" applyNumberFormat="1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2" fillId="5" borderId="0" applyFont="0" applyNumberFormat="1" applyFill="1" applyBorder="0" applyAlignment="1">
      <alignment horizontal="left" vertical="bottom" textRotation="0" wrapText="false" shrinkToFit="false"/>
    </xf>
    <xf xfId="0" fontId="10" numFmtId="0" fillId="6" borderId="10" applyFont="1" applyNumberFormat="0" applyFill="1" applyBorder="1" applyAlignment="1">
      <alignment horizontal="left" vertical="bottom" textRotation="0" wrapText="true" shrinkToFit="false"/>
    </xf>
    <xf xfId="0" fontId="11" numFmtId="0" fillId="2" borderId="0" applyFont="1" applyNumberFormat="0" applyFill="0" applyBorder="0" applyAlignment="1">
      <alignment horizontal="left" vertical="bottom" textRotation="0" wrapText="true" shrinkToFit="false"/>
    </xf>
    <xf xfId="0" fontId="4" numFmtId="0" fillId="2" borderId="16" applyFont="1" applyNumberFormat="0" applyFill="0" applyBorder="1" applyAlignment="1">
      <alignment horizontal="center" vertical="bottom" textRotation="0" wrapText="true" shrinkToFit="false"/>
    </xf>
    <xf xfId="0" fontId="4" numFmtId="0" fillId="2" borderId="17" applyFont="1" applyNumberFormat="0" applyFill="0" applyBorder="1" applyAlignment="1">
      <alignment horizontal="center" vertical="bottom" textRotation="0" wrapText="true" shrinkToFit="false"/>
    </xf>
    <xf xfId="0" fontId="4" numFmtId="0" fillId="2" borderId="18" applyFont="1" applyNumberFormat="0" applyFill="0" applyBorder="1" applyAlignment="1">
      <alignment horizontal="center" vertical="bottom" textRotation="0" wrapText="true" shrinkToFit="false"/>
    </xf>
    <xf xfId="0" fontId="4" numFmtId="0" fillId="2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0" applyFont="1" applyNumberFormat="0" applyFill="0" applyBorder="1" applyAlignment="1">
      <alignment horizontal="center" vertical="bottom" textRotation="0" wrapText="false" shrinkToFit="false"/>
    </xf>
    <xf xfId="0" fontId="4" numFmtId="0" fillId="2" borderId="19" applyFont="1" applyNumberFormat="0" applyFill="0" applyBorder="1" applyAlignment="1">
      <alignment horizontal="center" vertical="bottom" textRotation="0" wrapText="true" shrinkToFit="false"/>
    </xf>
    <xf xfId="0" fontId="4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9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12" numFmtId="0" fillId="2" borderId="10" applyFont="1" applyNumberFormat="0" applyFill="0" applyBorder="1" applyAlignment="1">
      <alignment horizontal="center" vertical="bottom" textRotation="0" wrapText="false" shrinkToFit="false"/>
    </xf>
    <xf xfId="0" fontId="9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0" applyBorder="1" applyAlignment="1">
      <alignment horizontal="center" vertical="center" textRotation="0" wrapText="false" shrinkToFit="false"/>
    </xf>
    <xf xfId="0" fontId="13" numFmtId="0" fillId="2" borderId="2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318"/>
  <sheetViews>
    <sheetView tabSelected="0" workbookViewId="0" showGridLines="true" showRowColHeaders="1">
      <selection activeCell="M8" sqref="M8"/>
    </sheetView>
  </sheetViews>
  <sheetFormatPr defaultRowHeight="14.4" outlineLevelRow="0" outlineLevelCol="0"/>
  <cols>
    <col min="1" max="1" width="7.7265625" customWidth="true" style="4"/>
    <col min="2" max="2" width="10.453125" customWidth="true" style="0"/>
    <col min="3" max="3" width="24.7265625" customWidth="true" style="0"/>
    <col min="4" max="4" width="9.453125" customWidth="true" style="0"/>
    <col min="5" max="5" width="7.81640625" customWidth="true" style="0"/>
    <col min="6" max="6" width="11.1796875" customWidth="true" style="6"/>
    <col min="7" max="7" width="17.453125" customWidth="true" style="0"/>
    <col min="8" max="8" width="8.26953125" customWidth="true" style="6"/>
    <col min="9" max="9" width="9.54296875" customWidth="true" style="0"/>
    <col min="10" max="10" width="25.1796875" customWidth="true" style="0"/>
    <col min="11" max="11" width="9.1796875" customWidth="true" style="0"/>
    <col min="12" max="12" width="9.1796875" customWidth="true" style="0"/>
    <col min="13" max="13" width="12.453125" customWidth="true" style="0"/>
    <col min="14" max="14" width="9.1796875" customWidth="true" style="0"/>
    <col min="15" max="15" width="9.1796875" customWidth="true" style="0"/>
    <col min="16" max="16" width="9.1796875" customWidth="true" style="0"/>
    <col min="17" max="17" width="9.1796875" customWidth="true" style="0"/>
    <col min="18" max="18" width="9.1796875" customWidth="true" style="0"/>
    <col min="19" max="19" width="9.1796875" customWidth="true" style="0"/>
    <col min="20" max="20" width="9.1796875" customWidth="true" style="0"/>
    <col min="21" max="21" width="9.1796875" customWidth="true" style="0"/>
    <col min="22" max="22" width="9.1796875" customWidth="true" style="0"/>
    <col min="23" max="23" width="9.1796875" customWidth="true" style="0"/>
  </cols>
  <sheetData>
    <row r="1" spans="1:23" s="2" customFormat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23">
      <c r="A2" s="4">
        <v>6892</v>
      </c>
      <c r="B2" s="0" t="s">
        <v>16</v>
      </c>
      <c r="C2" s="0" t="s">
        <v>17</v>
      </c>
      <c r="D2" s="0" t="s">
        <v>18</v>
      </c>
      <c r="E2" s="1" t="s">
        <v>19</v>
      </c>
      <c r="F2" s="6">
        <v>22247</v>
      </c>
      <c r="G2" s="0" t="s">
        <v>20</v>
      </c>
      <c r="H2" s="6">
        <v>38009</v>
      </c>
      <c r="I2" s="0" t="s">
        <v>21</v>
      </c>
      <c r="J2" s="0" t="s">
        <v>22</v>
      </c>
      <c r="K2" s="0">
        <v>66</v>
      </c>
      <c r="L2" s="0">
        <v>0</v>
      </c>
      <c r="M2" s="0">
        <v>0</v>
      </c>
      <c r="N2" s="0">
        <v>55.87</v>
      </c>
      <c r="O2" s="0">
        <v>1</v>
      </c>
      <c r="P2" s="0">
        <v>6</v>
      </c>
    </row>
    <row r="3" spans="1:23">
      <c r="A3" s="4">
        <v>6892</v>
      </c>
      <c r="B3" s="0" t="s">
        <v>16</v>
      </c>
      <c r="C3" s="0" t="s">
        <v>17</v>
      </c>
      <c r="D3" s="0" t="s">
        <v>23</v>
      </c>
      <c r="E3" s="1" t="s">
        <v>19</v>
      </c>
      <c r="F3" s="6">
        <v>22012</v>
      </c>
      <c r="G3" s="0" t="s">
        <v>24</v>
      </c>
      <c r="H3" s="6">
        <v>37580</v>
      </c>
      <c r="I3" s="0" t="s">
        <v>25</v>
      </c>
      <c r="J3" s="0" t="s">
        <v>26</v>
      </c>
      <c r="K3" s="0">
        <v>69</v>
      </c>
      <c r="L3" s="0" t="s">
        <v>27</v>
      </c>
      <c r="M3" s="0">
        <v>0</v>
      </c>
      <c r="N3" s="0">
        <v>0</v>
      </c>
      <c r="O3" s="0">
        <v>0</v>
      </c>
      <c r="P3" s="0">
        <v>0</v>
      </c>
    </row>
    <row r="4" spans="1:23">
      <c r="A4" s="4">
        <v>6892</v>
      </c>
      <c r="B4" s="0" t="s">
        <v>16</v>
      </c>
      <c r="C4" s="0" t="s">
        <v>17</v>
      </c>
      <c r="D4" s="0" t="s">
        <v>23</v>
      </c>
      <c r="E4" s="1" t="s">
        <v>19</v>
      </c>
      <c r="F4" s="6">
        <v>14340</v>
      </c>
      <c r="G4" s="0" t="s">
        <v>28</v>
      </c>
      <c r="H4" s="6">
        <v>38280</v>
      </c>
      <c r="I4" s="0" t="s">
        <v>29</v>
      </c>
      <c r="J4" s="0" t="s">
        <v>22</v>
      </c>
      <c r="K4" s="0">
        <v>69</v>
      </c>
      <c r="L4" s="0">
        <v>0</v>
      </c>
      <c r="M4" s="0">
        <v>0</v>
      </c>
      <c r="N4" s="0">
        <v>43.75</v>
      </c>
      <c r="O4" s="0">
        <v>1</v>
      </c>
      <c r="P4" s="0">
        <v>6</v>
      </c>
    </row>
    <row r="5" spans="1:23">
      <c r="A5" s="4">
        <v>6892</v>
      </c>
      <c r="B5" s="0" t="s">
        <v>16</v>
      </c>
      <c r="C5" s="0" t="s">
        <v>17</v>
      </c>
      <c r="D5" s="0" t="s">
        <v>30</v>
      </c>
      <c r="E5" s="1" t="s">
        <v>19</v>
      </c>
      <c r="F5" s="6">
        <v>20385</v>
      </c>
      <c r="G5" s="0" t="s">
        <v>31</v>
      </c>
      <c r="H5" s="6">
        <v>34479</v>
      </c>
      <c r="I5" s="0" t="s">
        <v>32</v>
      </c>
      <c r="J5" s="0" t="s">
        <v>33</v>
      </c>
      <c r="K5" s="0">
        <v>55</v>
      </c>
      <c r="L5" s="0" t="s">
        <v>27</v>
      </c>
      <c r="M5" s="0">
        <v>0</v>
      </c>
      <c r="N5" s="0">
        <v>0</v>
      </c>
      <c r="O5" s="0">
        <v>0</v>
      </c>
      <c r="P5" s="0">
        <v>0</v>
      </c>
    </row>
    <row r="6" spans="1:23">
      <c r="A6" s="4">
        <v>6892</v>
      </c>
      <c r="B6" s="0" t="s">
        <v>16</v>
      </c>
      <c r="C6" s="0" t="s">
        <v>17</v>
      </c>
      <c r="D6" s="0" t="s">
        <v>34</v>
      </c>
      <c r="E6" s="1" t="s">
        <v>19</v>
      </c>
      <c r="F6" s="6">
        <v>20925</v>
      </c>
      <c r="G6" s="0" t="s">
        <v>35</v>
      </c>
      <c r="H6" s="6">
        <v>35435</v>
      </c>
      <c r="I6" s="0" t="s">
        <v>36</v>
      </c>
      <c r="J6" s="0" t="s">
        <v>37</v>
      </c>
      <c r="K6" s="0">
        <v>58</v>
      </c>
      <c r="L6" s="0" t="s">
        <v>27</v>
      </c>
      <c r="M6" s="0">
        <v>0</v>
      </c>
      <c r="N6" s="0">
        <v>0</v>
      </c>
      <c r="O6" s="0">
        <v>0</v>
      </c>
      <c r="P6" s="0">
        <v>0</v>
      </c>
    </row>
    <row r="7" spans="1:23">
      <c r="A7" s="4">
        <v>6892</v>
      </c>
      <c r="B7" s="0" t="s">
        <v>38</v>
      </c>
      <c r="C7" s="0" t="s">
        <v>17</v>
      </c>
      <c r="D7" s="0" t="s">
        <v>39</v>
      </c>
      <c r="E7" s="1" t="s">
        <v>19</v>
      </c>
      <c r="F7" s="6">
        <v>3312</v>
      </c>
      <c r="G7" s="0" t="s">
        <v>40</v>
      </c>
      <c r="H7" s="6">
        <v>20111</v>
      </c>
      <c r="I7" s="0" t="s">
        <v>41</v>
      </c>
      <c r="J7" s="0" t="s">
        <v>42</v>
      </c>
      <c r="K7" s="0">
        <v>59</v>
      </c>
      <c r="L7" s="0">
        <v>5</v>
      </c>
      <c r="M7" s="0">
        <v>0</v>
      </c>
      <c r="N7" s="0">
        <v>45.97</v>
      </c>
      <c r="O7" s="0">
        <v>0</v>
      </c>
      <c r="P7" s="0">
        <v>0</v>
      </c>
    </row>
    <row r="8" spans="1:23">
      <c r="A8" s="4">
        <v>6892</v>
      </c>
      <c r="B8" s="0" t="s">
        <v>38</v>
      </c>
      <c r="C8" s="0" t="s">
        <v>17</v>
      </c>
      <c r="D8" s="0" t="s">
        <v>30</v>
      </c>
      <c r="E8" s="1" t="s">
        <v>19</v>
      </c>
      <c r="F8" s="6">
        <v>2755</v>
      </c>
      <c r="G8" s="0" t="s">
        <v>43</v>
      </c>
      <c r="H8" s="6">
        <v>26782</v>
      </c>
      <c r="I8" s="0" t="s">
        <v>44</v>
      </c>
      <c r="J8" s="0" t="s">
        <v>42</v>
      </c>
      <c r="K8" s="0">
        <v>56</v>
      </c>
      <c r="L8" s="0" t="s">
        <v>27</v>
      </c>
      <c r="M8" s="0">
        <v>0</v>
      </c>
      <c r="N8" s="0">
        <v>0</v>
      </c>
      <c r="O8" s="0">
        <v>0</v>
      </c>
      <c r="P8" s="0">
        <v>0</v>
      </c>
    </row>
    <row r="9" spans="1:23">
      <c r="A9" s="4">
        <v>6892</v>
      </c>
      <c r="B9" s="0" t="s">
        <v>38</v>
      </c>
      <c r="C9" s="0" t="s">
        <v>17</v>
      </c>
      <c r="D9" s="0" t="s">
        <v>30</v>
      </c>
      <c r="E9" s="1" t="s">
        <v>19</v>
      </c>
      <c r="F9" s="6">
        <v>10940</v>
      </c>
      <c r="G9" s="0" t="s">
        <v>45</v>
      </c>
      <c r="H9" s="6">
        <v>24142</v>
      </c>
      <c r="I9" s="0" t="s">
        <v>46</v>
      </c>
      <c r="J9" s="0" t="s">
        <v>42</v>
      </c>
      <c r="K9" s="0">
        <v>56</v>
      </c>
      <c r="L9" s="0">
        <v>0</v>
      </c>
      <c r="M9" s="0">
        <v>0</v>
      </c>
      <c r="N9" s="0">
        <v>33.87</v>
      </c>
      <c r="O9" s="0">
        <v>1</v>
      </c>
      <c r="P9" s="0">
        <v>6</v>
      </c>
    </row>
    <row r="10" spans="1:23">
      <c r="A10" s="4">
        <v>6892</v>
      </c>
      <c r="B10" s="0" t="s">
        <v>38</v>
      </c>
      <c r="C10" s="0" t="s">
        <v>17</v>
      </c>
      <c r="D10" s="0" t="s">
        <v>34</v>
      </c>
      <c r="E10" s="1" t="s">
        <v>19</v>
      </c>
      <c r="F10" s="6">
        <v>2724</v>
      </c>
      <c r="G10" s="0" t="s">
        <v>47</v>
      </c>
      <c r="H10" s="6">
        <v>20545</v>
      </c>
      <c r="I10" s="0" t="s">
        <v>48</v>
      </c>
      <c r="J10" s="0" t="s">
        <v>42</v>
      </c>
      <c r="K10" s="0">
        <v>59</v>
      </c>
      <c r="L10" s="0">
        <v>0</v>
      </c>
      <c r="M10" s="0">
        <v>0</v>
      </c>
      <c r="N10" s="0">
        <v>34.18</v>
      </c>
      <c r="O10" s="0">
        <v>1</v>
      </c>
      <c r="P10" s="0">
        <v>6</v>
      </c>
    </row>
    <row r="11" spans="1:23">
      <c r="A11" s="4">
        <v>6892</v>
      </c>
      <c r="B11" s="0" t="s">
        <v>38</v>
      </c>
      <c r="C11" s="0" t="s">
        <v>17</v>
      </c>
      <c r="D11" s="0" t="s">
        <v>34</v>
      </c>
      <c r="E11" s="1" t="s">
        <v>19</v>
      </c>
      <c r="F11" s="6">
        <v>3891</v>
      </c>
      <c r="G11" s="0" t="s">
        <v>49</v>
      </c>
      <c r="H11" s="6">
        <v>21216</v>
      </c>
      <c r="I11" s="0" t="s">
        <v>50</v>
      </c>
      <c r="J11" s="0" t="s">
        <v>42</v>
      </c>
      <c r="K11" s="0">
        <v>59</v>
      </c>
      <c r="L11" s="0">
        <v>5</v>
      </c>
      <c r="M11" s="0">
        <v>0</v>
      </c>
      <c r="N11" s="0">
        <v>41.41</v>
      </c>
      <c r="O11" s="0">
        <v>0</v>
      </c>
      <c r="P11" s="0">
        <v>0</v>
      </c>
    </row>
    <row r="12" spans="1:23">
      <c r="A12" s="4">
        <v>6892</v>
      </c>
      <c r="B12" s="0" t="s">
        <v>38</v>
      </c>
      <c r="C12" s="0" t="s">
        <v>17</v>
      </c>
      <c r="D12" s="0" t="s">
        <v>51</v>
      </c>
      <c r="E12" s="1" t="s">
        <v>19</v>
      </c>
      <c r="F12" s="6">
        <v>2720</v>
      </c>
      <c r="G12" s="0" t="s">
        <v>52</v>
      </c>
      <c r="H12" s="6">
        <v>24040</v>
      </c>
      <c r="I12" s="0" t="s">
        <v>53</v>
      </c>
      <c r="J12" s="0" t="s">
        <v>42</v>
      </c>
      <c r="K12" s="0">
        <v>56</v>
      </c>
      <c r="L12" s="0" t="s">
        <v>54</v>
      </c>
      <c r="M12" s="0">
        <v>0</v>
      </c>
      <c r="N12" s="0">
        <v>0</v>
      </c>
      <c r="O12" s="0">
        <v>0</v>
      </c>
      <c r="P12" s="0">
        <v>0</v>
      </c>
    </row>
    <row r="13" spans="1:23">
      <c r="A13" s="4">
        <v>6892</v>
      </c>
      <c r="B13" s="0" t="s">
        <v>38</v>
      </c>
      <c r="C13" s="0" t="s">
        <v>17</v>
      </c>
      <c r="D13" s="0" t="s">
        <v>55</v>
      </c>
      <c r="E13" s="1" t="s">
        <v>19</v>
      </c>
      <c r="F13" s="6">
        <v>2720</v>
      </c>
      <c r="G13" s="0" t="s">
        <v>52</v>
      </c>
      <c r="H13" s="6">
        <v>31304</v>
      </c>
      <c r="I13" s="0" t="s">
        <v>56</v>
      </c>
      <c r="J13" s="0" t="s">
        <v>42</v>
      </c>
      <c r="K13" s="0">
        <v>56</v>
      </c>
      <c r="L13" s="0" t="s">
        <v>54</v>
      </c>
      <c r="M13" s="0">
        <v>0</v>
      </c>
      <c r="N13" s="0">
        <v>0</v>
      </c>
      <c r="O13" s="0">
        <v>0</v>
      </c>
      <c r="P13" s="0">
        <v>0</v>
      </c>
    </row>
    <row r="14" spans="1:23">
      <c r="A14" s="4">
        <v>6892</v>
      </c>
      <c r="B14" s="0" t="s">
        <v>38</v>
      </c>
      <c r="C14" s="0" t="s">
        <v>17</v>
      </c>
      <c r="D14" s="0" t="s">
        <v>55</v>
      </c>
      <c r="E14" s="1" t="s">
        <v>19</v>
      </c>
      <c r="F14" s="6">
        <v>1847</v>
      </c>
      <c r="G14" s="0" t="s">
        <v>57</v>
      </c>
      <c r="H14" s="6">
        <v>25013</v>
      </c>
      <c r="I14" s="0" t="s">
        <v>58</v>
      </c>
      <c r="J14" s="0" t="s">
        <v>42</v>
      </c>
      <c r="K14" s="0">
        <v>56</v>
      </c>
      <c r="L14" s="0">
        <v>0</v>
      </c>
      <c r="M14" s="0">
        <v>0</v>
      </c>
      <c r="N14" s="0">
        <v>28.89</v>
      </c>
      <c r="O14" s="0">
        <v>1</v>
      </c>
      <c r="P14" s="0">
        <v>6</v>
      </c>
    </row>
    <row r="15" spans="1:23">
      <c r="A15" s="4">
        <v>6892</v>
      </c>
      <c r="B15" s="0" t="s">
        <v>38</v>
      </c>
      <c r="C15" s="0" t="s">
        <v>17</v>
      </c>
      <c r="D15" s="0" t="s">
        <v>59</v>
      </c>
      <c r="E15" s="1" t="s">
        <v>19</v>
      </c>
      <c r="F15" s="6">
        <v>6633</v>
      </c>
      <c r="G15" s="0" t="s">
        <v>60</v>
      </c>
      <c r="H15" s="6">
        <v>16720</v>
      </c>
      <c r="I15" s="0" t="s">
        <v>61</v>
      </c>
      <c r="J15" s="0" t="s">
        <v>62</v>
      </c>
      <c r="K15" s="0">
        <v>65</v>
      </c>
      <c r="L15" s="0">
        <v>5</v>
      </c>
      <c r="M15" s="0">
        <v>0</v>
      </c>
      <c r="N15" s="0">
        <v>44.86</v>
      </c>
      <c r="O15" s="0">
        <v>0</v>
      </c>
      <c r="P15" s="0">
        <v>0</v>
      </c>
    </row>
    <row r="16" spans="1:23">
      <c r="A16" s="4">
        <v>6892</v>
      </c>
      <c r="B16" s="0" t="s">
        <v>38</v>
      </c>
      <c r="C16" s="0" t="s">
        <v>17</v>
      </c>
      <c r="D16" s="0" t="s">
        <v>63</v>
      </c>
      <c r="E16" s="1" t="s">
        <v>19</v>
      </c>
      <c r="F16" s="6">
        <v>6633</v>
      </c>
      <c r="G16" s="0" t="s">
        <v>60</v>
      </c>
      <c r="H16" s="6">
        <v>29135</v>
      </c>
      <c r="I16" s="0" t="s">
        <v>64</v>
      </c>
      <c r="J16" s="0" t="s">
        <v>62</v>
      </c>
      <c r="K16" s="0">
        <v>62</v>
      </c>
      <c r="L16" s="0">
        <v>0</v>
      </c>
      <c r="M16" s="0">
        <v>0</v>
      </c>
      <c r="N16" s="0">
        <v>39.83</v>
      </c>
      <c r="O16" s="0">
        <v>1</v>
      </c>
      <c r="P16" s="0">
        <v>6</v>
      </c>
    </row>
    <row r="17" spans="1:23">
      <c r="A17" s="4">
        <v>6892</v>
      </c>
      <c r="B17" s="0" t="s">
        <v>65</v>
      </c>
      <c r="C17" s="0" t="s">
        <v>17</v>
      </c>
      <c r="D17" s="0" t="s">
        <v>18</v>
      </c>
      <c r="E17" s="1" t="s">
        <v>19</v>
      </c>
      <c r="F17" s="6">
        <v>8347</v>
      </c>
      <c r="G17" s="0" t="s">
        <v>66</v>
      </c>
      <c r="H17" s="6">
        <v>39209</v>
      </c>
      <c r="I17" s="0" t="s">
        <v>67</v>
      </c>
      <c r="J17" s="0" t="s">
        <v>68</v>
      </c>
      <c r="K17" s="0">
        <v>63</v>
      </c>
      <c r="L17" s="0">
        <v>5</v>
      </c>
      <c r="M17" s="0">
        <v>0</v>
      </c>
      <c r="N17" s="0">
        <v>86.48</v>
      </c>
      <c r="O17" s="0">
        <v>0</v>
      </c>
      <c r="P17" s="0">
        <v>0</v>
      </c>
    </row>
    <row r="18" spans="1:23">
      <c r="A18" s="4">
        <v>6892</v>
      </c>
      <c r="B18" s="0" t="s">
        <v>65</v>
      </c>
      <c r="C18" s="0" t="s">
        <v>17</v>
      </c>
      <c r="D18" s="0" t="s">
        <v>18</v>
      </c>
      <c r="E18" s="1" t="s">
        <v>19</v>
      </c>
      <c r="F18" s="6">
        <v>21432</v>
      </c>
      <c r="G18" s="0" t="s">
        <v>69</v>
      </c>
      <c r="H18" s="6">
        <v>36357</v>
      </c>
      <c r="I18" s="0" t="s">
        <v>70</v>
      </c>
      <c r="J18" s="0" t="s">
        <v>71</v>
      </c>
      <c r="K18" s="0">
        <v>63</v>
      </c>
      <c r="L18" s="0" t="s">
        <v>27</v>
      </c>
      <c r="M18" s="0">
        <v>0</v>
      </c>
      <c r="N18" s="0">
        <v>0</v>
      </c>
      <c r="O18" s="0">
        <v>0</v>
      </c>
      <c r="P18" s="0">
        <v>0</v>
      </c>
    </row>
    <row r="19" spans="1:23">
      <c r="A19" s="4">
        <v>6892</v>
      </c>
      <c r="B19" s="0" t="s">
        <v>65</v>
      </c>
      <c r="C19" s="0" t="s">
        <v>17</v>
      </c>
      <c r="D19" s="0" t="s">
        <v>34</v>
      </c>
      <c r="E19" s="1" t="s">
        <v>19</v>
      </c>
      <c r="F19" s="6">
        <v>19792</v>
      </c>
      <c r="G19" s="0" t="s">
        <v>72</v>
      </c>
      <c r="H19" s="6">
        <v>33395</v>
      </c>
      <c r="I19" s="0" t="s">
        <v>73</v>
      </c>
      <c r="J19" s="0" t="s">
        <v>74</v>
      </c>
      <c r="K19" s="0">
        <v>58</v>
      </c>
      <c r="L19" s="0">
        <v>10</v>
      </c>
      <c r="M19" s="0">
        <v>0</v>
      </c>
      <c r="N19" s="0">
        <v>53.68</v>
      </c>
      <c r="O19" s="0">
        <v>0</v>
      </c>
      <c r="P19" s="0">
        <v>0</v>
      </c>
    </row>
    <row r="20" spans="1:23">
      <c r="A20" s="4">
        <v>6892</v>
      </c>
      <c r="B20" s="0" t="s">
        <v>65</v>
      </c>
      <c r="C20" s="0" t="s">
        <v>17</v>
      </c>
      <c r="D20" s="0" t="s">
        <v>34</v>
      </c>
      <c r="E20" s="1" t="s">
        <v>19</v>
      </c>
      <c r="F20" s="6">
        <v>2720</v>
      </c>
      <c r="G20" s="0" t="s">
        <v>52</v>
      </c>
      <c r="H20" s="6">
        <v>32799</v>
      </c>
      <c r="I20" s="0" t="s">
        <v>75</v>
      </c>
      <c r="J20" s="0" t="s">
        <v>42</v>
      </c>
      <c r="K20" s="0">
        <v>58</v>
      </c>
      <c r="L20" s="0" t="s">
        <v>54</v>
      </c>
      <c r="M20" s="0">
        <v>0</v>
      </c>
      <c r="N20" s="0">
        <v>0</v>
      </c>
      <c r="O20" s="0">
        <v>0</v>
      </c>
      <c r="P20" s="0">
        <v>0</v>
      </c>
    </row>
    <row r="21" spans="1:23">
      <c r="A21" s="4">
        <v>6892</v>
      </c>
      <c r="B21" s="0" t="s">
        <v>65</v>
      </c>
      <c r="C21" s="0" t="s">
        <v>17</v>
      </c>
      <c r="D21" s="0" t="s">
        <v>63</v>
      </c>
      <c r="E21" s="1" t="s">
        <v>19</v>
      </c>
      <c r="F21" s="6">
        <v>16211</v>
      </c>
      <c r="G21" s="0" t="s">
        <v>76</v>
      </c>
      <c r="H21" s="6">
        <v>38645</v>
      </c>
      <c r="I21" s="0" t="s">
        <v>77</v>
      </c>
      <c r="J21" s="0" t="s">
        <v>78</v>
      </c>
      <c r="K21" s="0">
        <v>63</v>
      </c>
      <c r="L21" s="0">
        <v>0</v>
      </c>
      <c r="M21" s="0">
        <v>0</v>
      </c>
      <c r="N21" s="0">
        <v>35.13</v>
      </c>
      <c r="O21" s="0">
        <v>1</v>
      </c>
      <c r="P21" s="0">
        <v>6</v>
      </c>
    </row>
    <row r="22" spans="1:23">
      <c r="A22" s="4">
        <v>6892</v>
      </c>
      <c r="B22" s="0" t="s">
        <v>65</v>
      </c>
      <c r="C22" s="0" t="s">
        <v>17</v>
      </c>
      <c r="D22" s="0" t="s">
        <v>79</v>
      </c>
      <c r="E22" s="1" t="s">
        <v>19</v>
      </c>
      <c r="F22" s="6">
        <v>2720</v>
      </c>
      <c r="G22" s="0" t="s">
        <v>52</v>
      </c>
      <c r="H22" s="6">
        <v>33555</v>
      </c>
      <c r="I22" s="0" t="s">
        <v>80</v>
      </c>
      <c r="J22" s="0" t="s">
        <v>81</v>
      </c>
      <c r="K22" s="0">
        <v>66</v>
      </c>
      <c r="L22" s="0" t="s">
        <v>54</v>
      </c>
      <c r="M22" s="0">
        <v>0</v>
      </c>
      <c r="N22" s="0">
        <v>0</v>
      </c>
      <c r="O22" s="0">
        <v>0</v>
      </c>
      <c r="P22" s="0">
        <v>0</v>
      </c>
    </row>
    <row r="23" spans="1:23">
      <c r="A23" s="4">
        <v>6892</v>
      </c>
      <c r="B23" s="0" t="s">
        <v>82</v>
      </c>
      <c r="C23" s="0" t="s">
        <v>17</v>
      </c>
      <c r="D23" s="0" t="s">
        <v>18</v>
      </c>
      <c r="E23" s="1" t="s">
        <v>19</v>
      </c>
      <c r="F23" s="6">
        <v>8347</v>
      </c>
      <c r="G23" s="0" t="s">
        <v>66</v>
      </c>
      <c r="H23" s="6">
        <v>20086</v>
      </c>
      <c r="I23" s="0" t="s">
        <v>83</v>
      </c>
      <c r="J23" s="0" t="s">
        <v>84</v>
      </c>
      <c r="K23" s="0">
        <v>62</v>
      </c>
      <c r="L23" s="0">
        <v>0</v>
      </c>
      <c r="M23" s="0">
        <v>0</v>
      </c>
      <c r="N23" s="0">
        <v>48.74</v>
      </c>
      <c r="O23" s="0">
        <v>1</v>
      </c>
      <c r="P23" s="0">
        <v>6</v>
      </c>
    </row>
    <row r="24" spans="1:23">
      <c r="A24" s="4">
        <v>6892</v>
      </c>
      <c r="B24" s="0" t="s">
        <v>82</v>
      </c>
      <c r="C24" s="0" t="s">
        <v>17</v>
      </c>
      <c r="D24" s="0" t="s">
        <v>18</v>
      </c>
      <c r="E24" s="1" t="s">
        <v>19</v>
      </c>
      <c r="F24" s="6">
        <v>8400</v>
      </c>
      <c r="G24" s="0" t="s">
        <v>85</v>
      </c>
      <c r="H24" s="6">
        <v>22845</v>
      </c>
      <c r="I24" s="0" t="s">
        <v>86</v>
      </c>
      <c r="J24" s="0" t="s">
        <v>87</v>
      </c>
      <c r="K24" s="0">
        <v>62</v>
      </c>
      <c r="L24" s="0" t="s">
        <v>27</v>
      </c>
      <c r="M24" s="0">
        <v>0</v>
      </c>
      <c r="N24" s="0">
        <v>0</v>
      </c>
      <c r="O24" s="0">
        <v>0</v>
      </c>
      <c r="P24" s="0">
        <v>0</v>
      </c>
    </row>
    <row r="25" spans="1:23">
      <c r="A25" s="4">
        <v>6892</v>
      </c>
      <c r="B25" s="0" t="s">
        <v>82</v>
      </c>
      <c r="C25" s="0" t="s">
        <v>17</v>
      </c>
      <c r="D25" s="0" t="s">
        <v>23</v>
      </c>
      <c r="E25" s="1" t="s">
        <v>19</v>
      </c>
      <c r="F25" s="6">
        <v>8399</v>
      </c>
      <c r="G25" s="0" t="s">
        <v>88</v>
      </c>
      <c r="H25" s="6">
        <v>20543</v>
      </c>
      <c r="I25" s="0" t="s">
        <v>89</v>
      </c>
      <c r="J25" s="0" t="s">
        <v>87</v>
      </c>
      <c r="K25" s="0">
        <v>65</v>
      </c>
      <c r="L25" s="0" t="s">
        <v>27</v>
      </c>
      <c r="M25" s="0">
        <v>0</v>
      </c>
      <c r="N25" s="0">
        <v>0</v>
      </c>
      <c r="O25" s="0">
        <v>0</v>
      </c>
      <c r="P25" s="0">
        <v>0</v>
      </c>
    </row>
    <row r="26" spans="1:23">
      <c r="A26" s="4">
        <v>6892</v>
      </c>
      <c r="B26" s="0" t="s">
        <v>82</v>
      </c>
      <c r="C26" s="0" t="s">
        <v>17</v>
      </c>
      <c r="D26" s="0" t="s">
        <v>30</v>
      </c>
      <c r="E26" s="1" t="s">
        <v>19</v>
      </c>
      <c r="F26" s="6">
        <v>1847</v>
      </c>
      <c r="G26" s="0" t="s">
        <v>57</v>
      </c>
      <c r="H26" s="6">
        <v>29457</v>
      </c>
      <c r="I26" s="0" t="s">
        <v>90</v>
      </c>
      <c r="J26" s="0" t="s">
        <v>42</v>
      </c>
      <c r="K26" s="0">
        <v>56</v>
      </c>
      <c r="L26" s="0">
        <v>10</v>
      </c>
      <c r="M26" s="0">
        <v>0</v>
      </c>
      <c r="N26" s="0">
        <v>30.06</v>
      </c>
      <c r="O26" s="0">
        <v>0</v>
      </c>
      <c r="P26" s="0">
        <v>0</v>
      </c>
    </row>
    <row r="27" spans="1:23">
      <c r="A27" s="4">
        <v>6892</v>
      </c>
      <c r="B27" s="0" t="s">
        <v>82</v>
      </c>
      <c r="C27" s="0" t="s">
        <v>17</v>
      </c>
      <c r="D27" s="0" t="s">
        <v>79</v>
      </c>
      <c r="E27" s="1" t="s">
        <v>19</v>
      </c>
      <c r="F27" s="6">
        <v>18364</v>
      </c>
      <c r="G27" s="0" t="s">
        <v>91</v>
      </c>
      <c r="H27" s="6">
        <v>30773</v>
      </c>
      <c r="I27" s="0" t="s">
        <v>92</v>
      </c>
      <c r="J27" s="0" t="s">
        <v>71</v>
      </c>
      <c r="K27" s="0">
        <v>65</v>
      </c>
      <c r="L27" s="0">
        <v>0</v>
      </c>
      <c r="M27" s="0">
        <v>0</v>
      </c>
      <c r="N27" s="0">
        <v>62.83</v>
      </c>
      <c r="O27" s="0">
        <v>1</v>
      </c>
      <c r="P27" s="0">
        <v>6</v>
      </c>
    </row>
    <row r="28" spans="1:23">
      <c r="A28" s="4">
        <v>6892</v>
      </c>
      <c r="B28" s="0" t="s">
        <v>16</v>
      </c>
      <c r="C28" s="0" t="s">
        <v>93</v>
      </c>
      <c r="D28" s="0" t="s">
        <v>18</v>
      </c>
      <c r="E28" s="1" t="s">
        <v>19</v>
      </c>
      <c r="F28" s="6">
        <v>22247</v>
      </c>
      <c r="G28" s="0" t="s">
        <v>20</v>
      </c>
      <c r="H28" s="6">
        <v>38009</v>
      </c>
      <c r="I28" s="0" t="s">
        <v>21</v>
      </c>
      <c r="J28" s="0" t="s">
        <v>22</v>
      </c>
      <c r="K28" s="0">
        <v>65</v>
      </c>
      <c r="L28" s="0">
        <v>0</v>
      </c>
      <c r="M28" s="0">
        <v>0</v>
      </c>
      <c r="N28" s="0">
        <v>49.63</v>
      </c>
      <c r="O28" s="0">
        <v>1</v>
      </c>
      <c r="P28" s="0">
        <v>6</v>
      </c>
    </row>
    <row r="29" spans="1:23">
      <c r="A29" s="4">
        <v>6892</v>
      </c>
      <c r="B29" s="0" t="s">
        <v>16</v>
      </c>
      <c r="C29" s="0" t="s">
        <v>93</v>
      </c>
      <c r="D29" s="0" t="s">
        <v>23</v>
      </c>
      <c r="E29" s="1" t="s">
        <v>19</v>
      </c>
      <c r="F29" s="6">
        <v>14340</v>
      </c>
      <c r="G29" s="0" t="s">
        <v>28</v>
      </c>
      <c r="H29" s="6">
        <v>38280</v>
      </c>
      <c r="I29" s="0" t="s">
        <v>29</v>
      </c>
      <c r="J29" s="0" t="s">
        <v>22</v>
      </c>
      <c r="K29" s="0">
        <v>68</v>
      </c>
      <c r="L29" s="0" t="s">
        <v>27</v>
      </c>
      <c r="M29" s="0">
        <v>0</v>
      </c>
      <c r="N29" s="0">
        <v>0</v>
      </c>
      <c r="O29" s="0">
        <v>0</v>
      </c>
      <c r="P29" s="0">
        <v>0</v>
      </c>
    </row>
    <row r="30" spans="1:23">
      <c r="A30" s="4">
        <v>6892</v>
      </c>
      <c r="B30" s="0" t="s">
        <v>16</v>
      </c>
      <c r="C30" s="0" t="s">
        <v>93</v>
      </c>
      <c r="D30" s="0" t="s">
        <v>23</v>
      </c>
      <c r="E30" s="1" t="s">
        <v>19</v>
      </c>
      <c r="F30" s="6">
        <v>22012</v>
      </c>
      <c r="G30" s="0" t="s">
        <v>24</v>
      </c>
      <c r="H30" s="6">
        <v>37580</v>
      </c>
      <c r="I30" s="0" t="s">
        <v>25</v>
      </c>
      <c r="J30" s="0" t="s">
        <v>26</v>
      </c>
      <c r="K30" s="0">
        <v>68</v>
      </c>
      <c r="L30" s="0">
        <v>0</v>
      </c>
      <c r="M30" s="0">
        <v>0</v>
      </c>
      <c r="N30" s="0">
        <v>39.77</v>
      </c>
      <c r="O30" s="0">
        <v>1</v>
      </c>
      <c r="P30" s="0">
        <v>6</v>
      </c>
    </row>
    <row r="31" spans="1:23">
      <c r="A31" s="4">
        <v>6892</v>
      </c>
      <c r="B31" s="0" t="s">
        <v>16</v>
      </c>
      <c r="C31" s="0" t="s">
        <v>93</v>
      </c>
      <c r="D31" s="0" t="s">
        <v>34</v>
      </c>
      <c r="E31" s="1" t="s">
        <v>19</v>
      </c>
      <c r="F31" s="6">
        <v>20925</v>
      </c>
      <c r="G31" s="0" t="s">
        <v>35</v>
      </c>
      <c r="H31" s="6">
        <v>35435</v>
      </c>
      <c r="I31" s="0" t="s">
        <v>36</v>
      </c>
      <c r="J31" s="0" t="s">
        <v>37</v>
      </c>
      <c r="K31" s="0">
        <v>57</v>
      </c>
      <c r="L31" s="0">
        <v>5</v>
      </c>
      <c r="M31" s="0">
        <v>0</v>
      </c>
      <c r="N31" s="0">
        <v>65.73999999999999</v>
      </c>
      <c r="O31" s="0">
        <v>0</v>
      </c>
      <c r="P31" s="0">
        <v>0</v>
      </c>
    </row>
    <row r="32" spans="1:23">
      <c r="A32" s="4">
        <v>6892</v>
      </c>
      <c r="B32" s="0" t="s">
        <v>38</v>
      </c>
      <c r="C32" s="0" t="s">
        <v>93</v>
      </c>
      <c r="D32" s="0" t="s">
        <v>39</v>
      </c>
      <c r="E32" s="1" t="s">
        <v>19</v>
      </c>
      <c r="F32" s="6">
        <v>3312</v>
      </c>
      <c r="G32" s="0" t="s">
        <v>40</v>
      </c>
      <c r="H32" s="6">
        <v>20111</v>
      </c>
      <c r="I32" s="0" t="s">
        <v>41</v>
      </c>
      <c r="J32" s="0" t="s">
        <v>42</v>
      </c>
      <c r="K32" s="0">
        <v>60</v>
      </c>
      <c r="L32" s="0">
        <v>10</v>
      </c>
      <c r="M32" s="0">
        <v>0</v>
      </c>
      <c r="N32" s="0">
        <v>49.67</v>
      </c>
      <c r="O32" s="0">
        <v>0</v>
      </c>
      <c r="P32" s="0">
        <v>0</v>
      </c>
    </row>
    <row r="33" spans="1:23">
      <c r="A33" s="4">
        <v>6892</v>
      </c>
      <c r="B33" s="0" t="s">
        <v>38</v>
      </c>
      <c r="C33" s="0" t="s">
        <v>93</v>
      </c>
      <c r="D33" s="0" t="s">
        <v>39</v>
      </c>
      <c r="E33" s="1" t="s">
        <v>19</v>
      </c>
      <c r="F33" s="6">
        <v>7238</v>
      </c>
      <c r="G33" s="0" t="s">
        <v>94</v>
      </c>
      <c r="H33" s="6">
        <v>18907</v>
      </c>
      <c r="I33" s="0" t="s">
        <v>95</v>
      </c>
      <c r="J33" s="0" t="s">
        <v>42</v>
      </c>
      <c r="K33" s="0">
        <v>60</v>
      </c>
      <c r="L33" s="0">
        <v>0</v>
      </c>
      <c r="M33" s="0">
        <v>0</v>
      </c>
      <c r="N33" s="0">
        <v>32.03</v>
      </c>
      <c r="O33" s="0">
        <v>1</v>
      </c>
      <c r="P33" s="0">
        <v>6</v>
      </c>
    </row>
    <row r="34" spans="1:23">
      <c r="A34" s="4">
        <v>6892</v>
      </c>
      <c r="B34" s="0" t="s">
        <v>38</v>
      </c>
      <c r="C34" s="0" t="s">
        <v>93</v>
      </c>
      <c r="D34" s="0" t="s">
        <v>30</v>
      </c>
      <c r="E34" s="1" t="s">
        <v>19</v>
      </c>
      <c r="F34" s="6">
        <v>10940</v>
      </c>
      <c r="G34" s="0" t="s">
        <v>45</v>
      </c>
      <c r="H34" s="6">
        <v>24142</v>
      </c>
      <c r="I34" s="0" t="s">
        <v>46</v>
      </c>
      <c r="J34" s="0" t="s">
        <v>42</v>
      </c>
      <c r="K34" s="0">
        <v>57</v>
      </c>
      <c r="L34" s="0" t="s">
        <v>27</v>
      </c>
      <c r="M34" s="0">
        <v>0</v>
      </c>
      <c r="N34" s="0">
        <v>0</v>
      </c>
      <c r="O34" s="0">
        <v>0</v>
      </c>
      <c r="P34" s="0">
        <v>0</v>
      </c>
    </row>
    <row r="35" spans="1:23">
      <c r="A35" s="4">
        <v>6892</v>
      </c>
      <c r="B35" s="0" t="s">
        <v>38</v>
      </c>
      <c r="C35" s="0" t="s">
        <v>93</v>
      </c>
      <c r="D35" s="0" t="s">
        <v>30</v>
      </c>
      <c r="E35" s="1" t="s">
        <v>19</v>
      </c>
      <c r="F35" s="6">
        <v>2755</v>
      </c>
      <c r="G35" s="0" t="s">
        <v>43</v>
      </c>
      <c r="H35" s="6">
        <v>26782</v>
      </c>
      <c r="I35" s="0" t="s">
        <v>44</v>
      </c>
      <c r="J35" s="0" t="s">
        <v>42</v>
      </c>
      <c r="K35" s="0">
        <v>57</v>
      </c>
      <c r="L35" s="0">
        <v>5</v>
      </c>
      <c r="M35" s="0">
        <v>0</v>
      </c>
      <c r="N35" s="0">
        <v>34.13</v>
      </c>
      <c r="O35" s="0">
        <v>0</v>
      </c>
      <c r="P35" s="0">
        <v>0</v>
      </c>
    </row>
    <row r="36" spans="1:23">
      <c r="A36" s="4">
        <v>6892</v>
      </c>
      <c r="B36" s="0" t="s">
        <v>38</v>
      </c>
      <c r="C36" s="0" t="s">
        <v>93</v>
      </c>
      <c r="D36" s="0" t="s">
        <v>34</v>
      </c>
      <c r="E36" s="1" t="s">
        <v>19</v>
      </c>
      <c r="F36" s="6">
        <v>3891</v>
      </c>
      <c r="G36" s="0" t="s">
        <v>49</v>
      </c>
      <c r="H36" s="6">
        <v>21216</v>
      </c>
      <c r="I36" s="0" t="s">
        <v>50</v>
      </c>
      <c r="J36" s="0" t="s">
        <v>42</v>
      </c>
      <c r="K36" s="0">
        <v>60</v>
      </c>
      <c r="L36" s="0">
        <v>10</v>
      </c>
      <c r="M36" s="0">
        <v>0</v>
      </c>
      <c r="N36" s="0">
        <v>47.1</v>
      </c>
      <c r="O36" s="0">
        <v>0</v>
      </c>
      <c r="P36" s="0">
        <v>0</v>
      </c>
    </row>
    <row r="37" spans="1:23">
      <c r="A37" s="4">
        <v>6892</v>
      </c>
      <c r="B37" s="0" t="s">
        <v>38</v>
      </c>
      <c r="C37" s="0" t="s">
        <v>93</v>
      </c>
      <c r="D37" s="0" t="s">
        <v>34</v>
      </c>
      <c r="E37" s="1" t="s">
        <v>19</v>
      </c>
      <c r="F37" s="6">
        <v>2724</v>
      </c>
      <c r="G37" s="0" t="s">
        <v>47</v>
      </c>
      <c r="H37" s="6">
        <v>20545</v>
      </c>
      <c r="I37" s="0" t="s">
        <v>48</v>
      </c>
      <c r="J37" s="0" t="s">
        <v>42</v>
      </c>
      <c r="K37" s="0">
        <v>60</v>
      </c>
      <c r="L37" s="0">
        <v>0</v>
      </c>
      <c r="M37" s="0">
        <v>0</v>
      </c>
      <c r="N37" s="0">
        <v>38.05</v>
      </c>
      <c r="O37" s="0">
        <v>1</v>
      </c>
      <c r="P37" s="0">
        <v>6</v>
      </c>
    </row>
    <row r="38" spans="1:23">
      <c r="A38" s="4">
        <v>6892</v>
      </c>
      <c r="B38" s="0" t="s">
        <v>38</v>
      </c>
      <c r="C38" s="0" t="s">
        <v>93</v>
      </c>
      <c r="D38" s="0" t="s">
        <v>51</v>
      </c>
      <c r="E38" s="1" t="s">
        <v>19</v>
      </c>
      <c r="F38" s="6">
        <v>2720</v>
      </c>
      <c r="G38" s="0" t="s">
        <v>52</v>
      </c>
      <c r="H38" s="6">
        <v>24040</v>
      </c>
      <c r="I38" s="0" t="s">
        <v>53</v>
      </c>
      <c r="J38" s="0" t="s">
        <v>42</v>
      </c>
      <c r="K38" s="0">
        <v>57</v>
      </c>
      <c r="L38" s="0" t="s">
        <v>54</v>
      </c>
      <c r="M38" s="0">
        <v>0</v>
      </c>
      <c r="N38" s="0">
        <v>0</v>
      </c>
      <c r="O38" s="0">
        <v>0</v>
      </c>
      <c r="P38" s="0">
        <v>0</v>
      </c>
    </row>
    <row r="39" spans="1:23">
      <c r="A39" s="4">
        <v>6892</v>
      </c>
      <c r="B39" s="0" t="s">
        <v>38</v>
      </c>
      <c r="C39" s="0" t="s">
        <v>93</v>
      </c>
      <c r="D39" s="0" t="s">
        <v>55</v>
      </c>
      <c r="E39" s="1" t="s">
        <v>19</v>
      </c>
      <c r="F39" s="6">
        <v>2720</v>
      </c>
      <c r="G39" s="0" t="s">
        <v>52</v>
      </c>
      <c r="H39" s="6">
        <v>31304</v>
      </c>
      <c r="I39" s="0" t="s">
        <v>56</v>
      </c>
      <c r="J39" s="0" t="s">
        <v>42</v>
      </c>
      <c r="K39" s="0">
        <v>57</v>
      </c>
      <c r="L39" s="0" t="s">
        <v>54</v>
      </c>
      <c r="M39" s="0">
        <v>0</v>
      </c>
      <c r="N39" s="0">
        <v>0</v>
      </c>
      <c r="O39" s="0">
        <v>0</v>
      </c>
      <c r="P39" s="0">
        <v>0</v>
      </c>
    </row>
    <row r="40" spans="1:23">
      <c r="A40" s="4">
        <v>6892</v>
      </c>
      <c r="B40" s="0" t="s">
        <v>38</v>
      </c>
      <c r="C40" s="0" t="s">
        <v>93</v>
      </c>
      <c r="D40" s="0" t="s">
        <v>55</v>
      </c>
      <c r="E40" s="1" t="s">
        <v>19</v>
      </c>
      <c r="F40" s="6">
        <v>1847</v>
      </c>
      <c r="G40" s="0" t="s">
        <v>57</v>
      </c>
      <c r="H40" s="6">
        <v>25013</v>
      </c>
      <c r="I40" s="0" t="s">
        <v>58</v>
      </c>
      <c r="J40" s="0" t="s">
        <v>42</v>
      </c>
      <c r="K40" s="0">
        <v>57</v>
      </c>
      <c r="L40" s="0">
        <v>0</v>
      </c>
      <c r="M40" s="0">
        <v>0</v>
      </c>
      <c r="N40" s="0">
        <v>31.04</v>
      </c>
      <c r="O40" s="0">
        <v>1</v>
      </c>
      <c r="P40" s="0">
        <v>6</v>
      </c>
    </row>
    <row r="41" spans="1:23">
      <c r="A41" s="4">
        <v>6892</v>
      </c>
      <c r="B41" s="0" t="s">
        <v>38</v>
      </c>
      <c r="C41" s="0" t="s">
        <v>93</v>
      </c>
      <c r="D41" s="0" t="s">
        <v>63</v>
      </c>
      <c r="E41" s="1" t="s">
        <v>19</v>
      </c>
      <c r="F41" s="6">
        <v>6633</v>
      </c>
      <c r="G41" s="0" t="s">
        <v>60</v>
      </c>
      <c r="H41" s="6">
        <v>29135</v>
      </c>
      <c r="I41" s="0" t="s">
        <v>64</v>
      </c>
      <c r="J41" s="0" t="s">
        <v>62</v>
      </c>
      <c r="K41" s="0">
        <v>63</v>
      </c>
      <c r="L41" s="0">
        <v>5</v>
      </c>
      <c r="M41" s="0">
        <v>0</v>
      </c>
      <c r="N41" s="0">
        <v>45.95</v>
      </c>
      <c r="O41" s="0">
        <v>0</v>
      </c>
      <c r="P41" s="0">
        <v>0</v>
      </c>
    </row>
    <row r="42" spans="1:23">
      <c r="A42" s="4">
        <v>6892</v>
      </c>
      <c r="B42" s="0" t="s">
        <v>65</v>
      </c>
      <c r="C42" s="0" t="s">
        <v>93</v>
      </c>
      <c r="D42" s="0" t="s">
        <v>18</v>
      </c>
      <c r="E42" s="1" t="s">
        <v>19</v>
      </c>
      <c r="F42" s="6">
        <v>8347</v>
      </c>
      <c r="G42" s="0" t="s">
        <v>66</v>
      </c>
      <c r="H42" s="6">
        <v>39209</v>
      </c>
      <c r="I42" s="0" t="s">
        <v>67</v>
      </c>
      <c r="J42" s="0" t="s">
        <v>68</v>
      </c>
      <c r="K42" s="0">
        <v>62</v>
      </c>
      <c r="L42" s="0">
        <v>10</v>
      </c>
      <c r="M42" s="0">
        <v>0</v>
      </c>
      <c r="N42" s="0">
        <v>96.27</v>
      </c>
      <c r="O42" s="0">
        <v>0</v>
      </c>
      <c r="P42" s="0">
        <v>0</v>
      </c>
    </row>
    <row r="43" spans="1:23">
      <c r="A43" s="4">
        <v>6892</v>
      </c>
      <c r="B43" s="0" t="s">
        <v>65</v>
      </c>
      <c r="C43" s="0" t="s">
        <v>93</v>
      </c>
      <c r="D43" s="0" t="s">
        <v>18</v>
      </c>
      <c r="E43" s="1" t="s">
        <v>19</v>
      </c>
      <c r="F43" s="6">
        <v>21432</v>
      </c>
      <c r="G43" s="0" t="s">
        <v>69</v>
      </c>
      <c r="H43" s="6">
        <v>36357</v>
      </c>
      <c r="I43" s="0" t="s">
        <v>70</v>
      </c>
      <c r="J43" s="0" t="s">
        <v>71</v>
      </c>
      <c r="K43" s="0">
        <v>62</v>
      </c>
      <c r="L43" s="0">
        <v>5</v>
      </c>
      <c r="M43" s="0">
        <v>0</v>
      </c>
      <c r="N43" s="0">
        <v>59.42</v>
      </c>
      <c r="O43" s="0">
        <v>0</v>
      </c>
      <c r="P43" s="0">
        <v>0</v>
      </c>
    </row>
    <row r="44" spans="1:23">
      <c r="A44" s="4">
        <v>6892</v>
      </c>
      <c r="B44" s="0" t="s">
        <v>65</v>
      </c>
      <c r="C44" s="0" t="s">
        <v>93</v>
      </c>
      <c r="D44" s="0" t="s">
        <v>30</v>
      </c>
      <c r="E44" s="1" t="s">
        <v>19</v>
      </c>
      <c r="F44" s="6">
        <v>7238</v>
      </c>
      <c r="G44" s="0" t="s">
        <v>94</v>
      </c>
      <c r="H44" s="6">
        <v>32353</v>
      </c>
      <c r="I44" s="0" t="s">
        <v>96</v>
      </c>
      <c r="J44" s="0" t="s">
        <v>42</v>
      </c>
      <c r="K44" s="0">
        <v>54</v>
      </c>
      <c r="L44" s="0">
        <v>0</v>
      </c>
      <c r="M44" s="0">
        <v>0</v>
      </c>
      <c r="N44" s="0">
        <v>25.03</v>
      </c>
      <c r="O44" s="0">
        <v>1</v>
      </c>
      <c r="P44" s="0">
        <v>6</v>
      </c>
    </row>
    <row r="45" spans="1:23">
      <c r="A45" s="4">
        <v>6892</v>
      </c>
      <c r="B45" s="0" t="s">
        <v>65</v>
      </c>
      <c r="C45" s="0" t="s">
        <v>93</v>
      </c>
      <c r="D45" s="0" t="s">
        <v>34</v>
      </c>
      <c r="E45" s="1" t="s">
        <v>19</v>
      </c>
      <c r="F45" s="6">
        <v>2720</v>
      </c>
      <c r="G45" s="0" t="s">
        <v>52</v>
      </c>
      <c r="H45" s="6">
        <v>32799</v>
      </c>
      <c r="I45" s="0" t="s">
        <v>75</v>
      </c>
      <c r="J45" s="0" t="s">
        <v>42</v>
      </c>
      <c r="K45" s="0">
        <v>57</v>
      </c>
      <c r="L45" s="0" t="s">
        <v>54</v>
      </c>
      <c r="M45" s="0">
        <v>0</v>
      </c>
      <c r="N45" s="0">
        <v>0</v>
      </c>
      <c r="O45" s="0">
        <v>0</v>
      </c>
      <c r="P45" s="0">
        <v>0</v>
      </c>
    </row>
    <row r="46" spans="1:23">
      <c r="A46" s="4">
        <v>6892</v>
      </c>
      <c r="B46" s="0" t="s">
        <v>65</v>
      </c>
      <c r="C46" s="0" t="s">
        <v>93</v>
      </c>
      <c r="D46" s="0" t="s">
        <v>34</v>
      </c>
      <c r="E46" s="1" t="s">
        <v>19</v>
      </c>
      <c r="F46" s="6">
        <v>19792</v>
      </c>
      <c r="G46" s="0" t="s">
        <v>72</v>
      </c>
      <c r="H46" s="6">
        <v>33395</v>
      </c>
      <c r="I46" s="0" t="s">
        <v>73</v>
      </c>
      <c r="J46" s="0" t="s">
        <v>74</v>
      </c>
      <c r="K46" s="0">
        <v>57</v>
      </c>
      <c r="L46" s="0">
        <v>0</v>
      </c>
      <c r="M46" s="0">
        <v>0</v>
      </c>
      <c r="N46" s="0">
        <v>41.44</v>
      </c>
      <c r="O46" s="0">
        <v>1</v>
      </c>
      <c r="P46" s="0">
        <v>6</v>
      </c>
    </row>
    <row r="47" spans="1:23">
      <c r="A47" s="4">
        <v>6892</v>
      </c>
      <c r="B47" s="0" t="s">
        <v>65</v>
      </c>
      <c r="C47" s="0" t="s">
        <v>93</v>
      </c>
      <c r="D47" s="0" t="s">
        <v>63</v>
      </c>
      <c r="E47" s="1" t="s">
        <v>19</v>
      </c>
      <c r="F47" s="6">
        <v>16211</v>
      </c>
      <c r="G47" s="0" t="s">
        <v>76</v>
      </c>
      <c r="H47" s="6">
        <v>38645</v>
      </c>
      <c r="I47" s="0" t="s">
        <v>77</v>
      </c>
      <c r="J47" s="0" t="s">
        <v>78</v>
      </c>
      <c r="K47" s="0">
        <v>62</v>
      </c>
      <c r="L47" s="0">
        <v>0</v>
      </c>
      <c r="M47" s="0">
        <v>0</v>
      </c>
      <c r="N47" s="0">
        <v>33.1</v>
      </c>
      <c r="O47" s="0">
        <v>1</v>
      </c>
      <c r="P47" s="0">
        <v>6</v>
      </c>
    </row>
    <row r="48" spans="1:23">
      <c r="A48" s="4">
        <v>6892</v>
      </c>
      <c r="B48" s="0" t="s">
        <v>65</v>
      </c>
      <c r="C48" s="0" t="s">
        <v>93</v>
      </c>
      <c r="D48" s="0" t="s">
        <v>79</v>
      </c>
      <c r="E48" s="1" t="s">
        <v>19</v>
      </c>
      <c r="F48" s="6">
        <v>2720</v>
      </c>
      <c r="G48" s="0" t="s">
        <v>52</v>
      </c>
      <c r="H48" s="6">
        <v>33555</v>
      </c>
      <c r="I48" s="0" t="s">
        <v>80</v>
      </c>
      <c r="J48" s="0" t="s">
        <v>81</v>
      </c>
      <c r="K48" s="0">
        <v>65</v>
      </c>
      <c r="L48" s="0" t="s">
        <v>54</v>
      </c>
      <c r="M48" s="0">
        <v>0</v>
      </c>
      <c r="N48" s="0">
        <v>0</v>
      </c>
      <c r="O48" s="0">
        <v>0</v>
      </c>
      <c r="P48" s="0">
        <v>0</v>
      </c>
    </row>
    <row r="49" spans="1:23">
      <c r="A49" s="4">
        <v>6892</v>
      </c>
      <c r="B49" s="0" t="s">
        <v>82</v>
      </c>
      <c r="C49" s="0" t="s">
        <v>93</v>
      </c>
      <c r="D49" s="0" t="s">
        <v>18</v>
      </c>
      <c r="E49" s="1" t="s">
        <v>19</v>
      </c>
      <c r="F49" s="6">
        <v>8400</v>
      </c>
      <c r="G49" s="0" t="s">
        <v>85</v>
      </c>
      <c r="H49" s="6">
        <v>22845</v>
      </c>
      <c r="I49" s="0" t="s">
        <v>86</v>
      </c>
      <c r="J49" s="0" t="s">
        <v>87</v>
      </c>
      <c r="K49" s="0">
        <v>63</v>
      </c>
      <c r="L49" s="0" t="s">
        <v>27</v>
      </c>
      <c r="M49" s="0">
        <v>0</v>
      </c>
      <c r="N49" s="0">
        <v>0</v>
      </c>
      <c r="O49" s="0">
        <v>0</v>
      </c>
      <c r="P49" s="0">
        <v>0</v>
      </c>
    </row>
    <row r="50" spans="1:23">
      <c r="A50" s="4">
        <v>6892</v>
      </c>
      <c r="B50" s="0" t="s">
        <v>82</v>
      </c>
      <c r="C50" s="0" t="s">
        <v>93</v>
      </c>
      <c r="D50" s="0" t="s">
        <v>18</v>
      </c>
      <c r="E50" s="1" t="s">
        <v>19</v>
      </c>
      <c r="F50" s="6">
        <v>8347</v>
      </c>
      <c r="G50" s="0" t="s">
        <v>66</v>
      </c>
      <c r="H50" s="6">
        <v>20086</v>
      </c>
      <c r="I50" s="0" t="s">
        <v>83</v>
      </c>
      <c r="J50" s="0" t="s">
        <v>84</v>
      </c>
      <c r="K50" s="0">
        <v>63</v>
      </c>
      <c r="L50" s="0">
        <v>0</v>
      </c>
      <c r="M50" s="0">
        <v>0</v>
      </c>
      <c r="N50" s="0">
        <v>53.9</v>
      </c>
      <c r="O50" s="0">
        <v>1</v>
      </c>
      <c r="P50" s="0">
        <v>6</v>
      </c>
    </row>
    <row r="51" spans="1:23">
      <c r="A51" s="4">
        <v>6892</v>
      </c>
      <c r="B51" s="0" t="s">
        <v>82</v>
      </c>
      <c r="C51" s="0" t="s">
        <v>93</v>
      </c>
      <c r="D51" s="0" t="s">
        <v>79</v>
      </c>
      <c r="E51" s="1" t="s">
        <v>19</v>
      </c>
      <c r="F51" s="6">
        <v>18364</v>
      </c>
      <c r="G51" s="0" t="s">
        <v>91</v>
      </c>
      <c r="H51" s="6">
        <v>30773</v>
      </c>
      <c r="I51" s="0" t="s">
        <v>92</v>
      </c>
      <c r="J51" s="0" t="s">
        <v>71</v>
      </c>
      <c r="K51" s="0">
        <v>66</v>
      </c>
      <c r="L51" s="0">
        <v>0</v>
      </c>
      <c r="M51" s="0">
        <v>0</v>
      </c>
      <c r="N51" s="0">
        <v>67.81999999999999</v>
      </c>
      <c r="O51" s="0">
        <v>0</v>
      </c>
      <c r="P51" s="0">
        <v>0</v>
      </c>
    </row>
    <row r="52" spans="1:23">
      <c r="A52" s="4">
        <v>6892</v>
      </c>
      <c r="B52" s="0" t="s">
        <v>16</v>
      </c>
      <c r="C52" s="0" t="s">
        <v>97</v>
      </c>
      <c r="D52" s="0" t="s">
        <v>30</v>
      </c>
      <c r="E52" s="1" t="s">
        <v>19</v>
      </c>
      <c r="F52" s="6">
        <v>20385</v>
      </c>
      <c r="G52" s="0" t="s">
        <v>31</v>
      </c>
      <c r="H52" s="6">
        <v>34479</v>
      </c>
      <c r="I52" s="0" t="s">
        <v>32</v>
      </c>
      <c r="J52" s="0" t="s">
        <v>33</v>
      </c>
      <c r="K52" s="0">
        <v>39</v>
      </c>
      <c r="L52" s="0">
        <v>0</v>
      </c>
      <c r="M52" s="0">
        <v>8</v>
      </c>
      <c r="N52" s="0">
        <v>46.18</v>
      </c>
      <c r="O52" s="0">
        <v>0</v>
      </c>
      <c r="P52" s="0">
        <v>0</v>
      </c>
    </row>
    <row r="53" spans="1:23">
      <c r="A53" s="4">
        <v>6892</v>
      </c>
      <c r="B53" s="0" t="s">
        <v>38</v>
      </c>
      <c r="C53" s="0" t="s">
        <v>97</v>
      </c>
      <c r="D53" s="0" t="s">
        <v>39</v>
      </c>
      <c r="E53" s="1" t="s">
        <v>19</v>
      </c>
      <c r="F53" s="6">
        <v>7238</v>
      </c>
      <c r="G53" s="0" t="s">
        <v>94</v>
      </c>
      <c r="H53" s="6">
        <v>18907</v>
      </c>
      <c r="I53" s="0" t="s">
        <v>95</v>
      </c>
      <c r="J53" s="0" t="s">
        <v>42</v>
      </c>
      <c r="K53" s="0">
        <v>39</v>
      </c>
      <c r="L53" s="0">
        <v>0</v>
      </c>
      <c r="M53" s="0">
        <v>37</v>
      </c>
      <c r="N53" s="0">
        <v>37.42</v>
      </c>
      <c r="O53" s="0">
        <v>1</v>
      </c>
      <c r="P53" s="0">
        <v>6</v>
      </c>
    </row>
    <row r="54" spans="1:23">
      <c r="A54" s="4">
        <v>6892</v>
      </c>
      <c r="B54" s="0" t="s">
        <v>38</v>
      </c>
      <c r="C54" s="0" t="s">
        <v>97</v>
      </c>
      <c r="D54" s="0" t="s">
        <v>51</v>
      </c>
      <c r="E54" s="1" t="s">
        <v>19</v>
      </c>
      <c r="F54" s="6">
        <v>3312</v>
      </c>
      <c r="G54" s="0" t="s">
        <v>40</v>
      </c>
      <c r="H54" s="6">
        <v>24750</v>
      </c>
      <c r="I54" s="0" t="s">
        <v>98</v>
      </c>
      <c r="J54" s="0" t="s">
        <v>42</v>
      </c>
      <c r="K54" s="0">
        <v>39</v>
      </c>
      <c r="L54" s="0">
        <v>0</v>
      </c>
      <c r="M54" s="0">
        <v>20</v>
      </c>
      <c r="N54" s="0">
        <v>41.27</v>
      </c>
      <c r="O54" s="0">
        <v>0</v>
      </c>
      <c r="P54" s="0">
        <v>0</v>
      </c>
    </row>
    <row r="55" spans="1:23">
      <c r="A55" s="4">
        <v>6892</v>
      </c>
      <c r="B55" s="0" t="s">
        <v>38</v>
      </c>
      <c r="C55" s="0" t="s">
        <v>97</v>
      </c>
      <c r="D55" s="0" t="s">
        <v>51</v>
      </c>
      <c r="E55" s="1" t="s">
        <v>19</v>
      </c>
      <c r="F55" s="6">
        <v>2720</v>
      </c>
      <c r="G55" s="0" t="s">
        <v>52</v>
      </c>
      <c r="H55" s="6">
        <v>24040</v>
      </c>
      <c r="I55" s="0" t="s">
        <v>53</v>
      </c>
      <c r="J55" s="0" t="s">
        <v>42</v>
      </c>
      <c r="K55" s="0">
        <v>39</v>
      </c>
      <c r="L55" s="0" t="s">
        <v>54</v>
      </c>
      <c r="M55" s="0">
        <v>0</v>
      </c>
      <c r="N55" s="0">
        <v>0</v>
      </c>
      <c r="O55" s="0">
        <v>0</v>
      </c>
      <c r="P55" s="0">
        <v>0</v>
      </c>
    </row>
    <row r="56" spans="1:23">
      <c r="A56" s="4">
        <v>6892</v>
      </c>
      <c r="B56" s="0" t="s">
        <v>38</v>
      </c>
      <c r="C56" s="0" t="s">
        <v>97</v>
      </c>
      <c r="D56" s="0" t="s">
        <v>55</v>
      </c>
      <c r="E56" s="1" t="s">
        <v>19</v>
      </c>
      <c r="F56" s="6">
        <v>2720</v>
      </c>
      <c r="G56" s="0" t="s">
        <v>52</v>
      </c>
      <c r="H56" s="6">
        <v>31304</v>
      </c>
      <c r="I56" s="0" t="s">
        <v>56</v>
      </c>
      <c r="J56" s="0" t="s">
        <v>42</v>
      </c>
      <c r="K56" s="0">
        <v>39</v>
      </c>
      <c r="L56" s="0" t="s">
        <v>54</v>
      </c>
      <c r="M56" s="0">
        <v>0</v>
      </c>
      <c r="N56" s="0">
        <v>0</v>
      </c>
      <c r="O56" s="0">
        <v>0</v>
      </c>
      <c r="P56" s="0">
        <v>0</v>
      </c>
    </row>
    <row r="57" spans="1:23">
      <c r="A57" s="4">
        <v>6892</v>
      </c>
      <c r="B57" s="0" t="s">
        <v>38</v>
      </c>
      <c r="C57" s="0" t="s">
        <v>97</v>
      </c>
      <c r="D57" s="0" t="s">
        <v>55</v>
      </c>
      <c r="E57" s="1" t="s">
        <v>19</v>
      </c>
      <c r="F57" s="6">
        <v>1847</v>
      </c>
      <c r="G57" s="0" t="s">
        <v>57</v>
      </c>
      <c r="H57" s="6">
        <v>25013</v>
      </c>
      <c r="I57" s="0" t="s">
        <v>58</v>
      </c>
      <c r="J57" s="0" t="s">
        <v>42</v>
      </c>
      <c r="K57" s="0">
        <v>39</v>
      </c>
      <c r="L57" s="0">
        <v>0</v>
      </c>
      <c r="M57" s="0">
        <v>29</v>
      </c>
      <c r="N57" s="0">
        <v>37.33</v>
      </c>
      <c r="O57" s="0">
        <v>1</v>
      </c>
      <c r="P57" s="0">
        <v>6</v>
      </c>
    </row>
    <row r="58" spans="1:23">
      <c r="A58" s="4">
        <v>6892</v>
      </c>
      <c r="B58" s="0" t="s">
        <v>38</v>
      </c>
      <c r="C58" s="0" t="s">
        <v>97</v>
      </c>
      <c r="D58" s="0" t="s">
        <v>59</v>
      </c>
      <c r="E58" s="1" t="s">
        <v>19</v>
      </c>
      <c r="F58" s="6">
        <v>6633</v>
      </c>
      <c r="G58" s="0" t="s">
        <v>60</v>
      </c>
      <c r="H58" s="6">
        <v>16720</v>
      </c>
      <c r="I58" s="0" t="s">
        <v>61</v>
      </c>
      <c r="J58" s="0" t="s">
        <v>62</v>
      </c>
      <c r="K58" s="0">
        <v>41</v>
      </c>
      <c r="L58" s="0">
        <v>0</v>
      </c>
      <c r="M58" s="0">
        <v>30</v>
      </c>
      <c r="N58" s="0">
        <v>34.43</v>
      </c>
      <c r="O58" s="0">
        <v>1</v>
      </c>
      <c r="P58" s="0">
        <v>6</v>
      </c>
    </row>
    <row r="59" spans="1:23">
      <c r="A59" s="4">
        <v>6892</v>
      </c>
      <c r="B59" s="0" t="s">
        <v>38</v>
      </c>
      <c r="C59" s="0" t="s">
        <v>97</v>
      </c>
      <c r="D59" s="0" t="s">
        <v>63</v>
      </c>
      <c r="E59" s="1" t="s">
        <v>19</v>
      </c>
      <c r="F59" s="6">
        <v>6633</v>
      </c>
      <c r="G59" s="0" t="s">
        <v>60</v>
      </c>
      <c r="H59" s="6">
        <v>29135</v>
      </c>
      <c r="I59" s="0" t="s">
        <v>64</v>
      </c>
      <c r="J59" s="0" t="s">
        <v>62</v>
      </c>
      <c r="K59" s="0">
        <v>41</v>
      </c>
      <c r="L59" s="0">
        <v>0</v>
      </c>
      <c r="M59" s="0">
        <v>33</v>
      </c>
      <c r="N59" s="0">
        <v>36.51</v>
      </c>
      <c r="O59" s="0">
        <v>1</v>
      </c>
      <c r="P59" s="0">
        <v>6</v>
      </c>
    </row>
    <row r="60" spans="1:23">
      <c r="A60" s="4">
        <v>6892</v>
      </c>
      <c r="B60" s="0" t="s">
        <v>65</v>
      </c>
      <c r="C60" s="0" t="s">
        <v>97</v>
      </c>
      <c r="D60" s="0" t="s">
        <v>18</v>
      </c>
      <c r="E60" s="1" t="s">
        <v>19</v>
      </c>
      <c r="F60" s="6">
        <v>21432</v>
      </c>
      <c r="G60" s="0" t="s">
        <v>69</v>
      </c>
      <c r="H60" s="6">
        <v>36357</v>
      </c>
      <c r="I60" s="0" t="s">
        <v>70</v>
      </c>
      <c r="J60" s="0" t="s">
        <v>71</v>
      </c>
      <c r="K60" s="0">
        <v>41</v>
      </c>
      <c r="L60" s="0" t="s">
        <v>27</v>
      </c>
      <c r="M60" s="0">
        <v>0</v>
      </c>
      <c r="N60" s="0">
        <v>0</v>
      </c>
      <c r="O60" s="0">
        <v>0</v>
      </c>
      <c r="P60" s="0">
        <v>0</v>
      </c>
    </row>
    <row r="61" spans="1:23">
      <c r="A61" s="4">
        <v>6892</v>
      </c>
      <c r="B61" s="0" t="s">
        <v>65</v>
      </c>
      <c r="C61" s="0" t="s">
        <v>97</v>
      </c>
      <c r="D61" s="0" t="s">
        <v>30</v>
      </c>
      <c r="E61" s="1" t="s">
        <v>19</v>
      </c>
      <c r="F61" s="6">
        <v>7238</v>
      </c>
      <c r="G61" s="0" t="s">
        <v>94</v>
      </c>
      <c r="H61" s="6">
        <v>32353</v>
      </c>
      <c r="I61" s="0" t="s">
        <v>96</v>
      </c>
      <c r="J61" s="0" t="s">
        <v>42</v>
      </c>
      <c r="K61" s="0">
        <v>39</v>
      </c>
      <c r="L61" s="0" t="s">
        <v>27</v>
      </c>
      <c r="M61" s="0">
        <v>0</v>
      </c>
      <c r="N61" s="0">
        <v>0</v>
      </c>
      <c r="O61" s="0">
        <v>0</v>
      </c>
      <c r="P61" s="0">
        <v>0</v>
      </c>
    </row>
    <row r="62" spans="1:23">
      <c r="A62" s="4">
        <v>6892</v>
      </c>
      <c r="B62" s="0" t="s">
        <v>65</v>
      </c>
      <c r="C62" s="0" t="s">
        <v>97</v>
      </c>
      <c r="D62" s="0" t="s">
        <v>34</v>
      </c>
      <c r="E62" s="1" t="s">
        <v>19</v>
      </c>
      <c r="F62" s="6">
        <v>2720</v>
      </c>
      <c r="G62" s="0" t="s">
        <v>52</v>
      </c>
      <c r="H62" s="6">
        <v>32799</v>
      </c>
      <c r="I62" s="0" t="s">
        <v>75</v>
      </c>
      <c r="J62" s="0" t="s">
        <v>42</v>
      </c>
      <c r="K62" s="0">
        <v>39</v>
      </c>
      <c r="L62" s="0" t="s">
        <v>54</v>
      </c>
      <c r="M62" s="0">
        <v>0</v>
      </c>
      <c r="N62" s="0">
        <v>0</v>
      </c>
      <c r="O62" s="0">
        <v>0</v>
      </c>
      <c r="P62" s="0">
        <v>0</v>
      </c>
    </row>
    <row r="63" spans="1:23">
      <c r="A63" s="4">
        <v>6892</v>
      </c>
      <c r="B63" s="0" t="s">
        <v>65</v>
      </c>
      <c r="C63" s="0" t="s">
        <v>97</v>
      </c>
      <c r="D63" s="0" t="s">
        <v>79</v>
      </c>
      <c r="E63" s="1" t="s">
        <v>19</v>
      </c>
      <c r="F63" s="6">
        <v>2720</v>
      </c>
      <c r="G63" s="0" t="s">
        <v>52</v>
      </c>
      <c r="H63" s="6">
        <v>33555</v>
      </c>
      <c r="I63" s="0" t="s">
        <v>80</v>
      </c>
      <c r="J63" s="0" t="s">
        <v>81</v>
      </c>
      <c r="K63" s="0">
        <v>41</v>
      </c>
      <c r="L63" s="0" t="s">
        <v>54</v>
      </c>
      <c r="M63" s="0">
        <v>15</v>
      </c>
      <c r="N63" s="0">
        <v>0</v>
      </c>
      <c r="O63" s="0">
        <v>0</v>
      </c>
      <c r="P63" s="0">
        <v>0</v>
      </c>
    </row>
    <row r="64" spans="1:23">
      <c r="A64" s="4">
        <v>6892</v>
      </c>
      <c r="B64" s="0" t="s">
        <v>82</v>
      </c>
      <c r="C64" s="0" t="s">
        <v>97</v>
      </c>
      <c r="D64" s="0" t="s">
        <v>23</v>
      </c>
      <c r="E64" s="1" t="s">
        <v>19</v>
      </c>
      <c r="F64" s="6">
        <v>8399</v>
      </c>
      <c r="G64" s="0" t="s">
        <v>88</v>
      </c>
      <c r="H64" s="6">
        <v>20543</v>
      </c>
      <c r="I64" s="0" t="s">
        <v>89</v>
      </c>
      <c r="J64" s="0" t="s">
        <v>87</v>
      </c>
      <c r="K64" s="0">
        <v>41</v>
      </c>
      <c r="L64" s="0">
        <v>0</v>
      </c>
      <c r="M64" s="0">
        <v>22</v>
      </c>
      <c r="N64" s="0">
        <v>41.98</v>
      </c>
      <c r="O64" s="0">
        <v>0</v>
      </c>
      <c r="P64" s="0">
        <v>0</v>
      </c>
    </row>
    <row r="65" spans="1:23">
      <c r="A65" s="4">
        <v>6892</v>
      </c>
      <c r="B65" s="0" t="s">
        <v>82</v>
      </c>
      <c r="C65" s="0" t="s">
        <v>97</v>
      </c>
      <c r="D65" s="0" t="s">
        <v>79</v>
      </c>
      <c r="E65" s="1" t="s">
        <v>19</v>
      </c>
      <c r="F65" s="6">
        <v>18364</v>
      </c>
      <c r="G65" s="0" t="s">
        <v>91</v>
      </c>
      <c r="H65" s="6">
        <v>30773</v>
      </c>
      <c r="I65" s="0" t="s">
        <v>92</v>
      </c>
      <c r="J65" s="0" t="s">
        <v>71</v>
      </c>
      <c r="K65" s="0">
        <v>41</v>
      </c>
      <c r="L65" s="0">
        <v>0</v>
      </c>
      <c r="M65" s="0">
        <v>27</v>
      </c>
      <c r="N65" s="0">
        <v>35.19</v>
      </c>
      <c r="O65" s="0">
        <v>1</v>
      </c>
      <c r="P65" s="0">
        <v>6</v>
      </c>
    </row>
    <row r="66" spans="1:23">
      <c r="A66" s="4">
        <v>6892</v>
      </c>
      <c r="B66" s="0" t="s">
        <v>16</v>
      </c>
      <c r="C66" s="0" t="s">
        <v>99</v>
      </c>
      <c r="D66" s="0" t="s">
        <v>23</v>
      </c>
      <c r="E66" s="1" t="s">
        <v>19</v>
      </c>
      <c r="F66" s="6">
        <v>22012</v>
      </c>
      <c r="G66" s="0" t="s">
        <v>24</v>
      </c>
      <c r="H66" s="6">
        <v>37580</v>
      </c>
      <c r="I66" s="0" t="s">
        <v>25</v>
      </c>
      <c r="J66" s="0" t="s">
        <v>26</v>
      </c>
      <c r="K66" s="0">
        <v>58</v>
      </c>
      <c r="L66" s="0" t="s">
        <v>27</v>
      </c>
      <c r="M66" s="0">
        <v>0</v>
      </c>
      <c r="N66" s="0">
        <v>0</v>
      </c>
      <c r="O66" s="0">
        <v>0</v>
      </c>
      <c r="P66" s="0">
        <v>0</v>
      </c>
    </row>
    <row r="67" spans="1:23">
      <c r="A67" s="4">
        <v>6892</v>
      </c>
      <c r="B67" s="0" t="s">
        <v>16</v>
      </c>
      <c r="C67" s="0" t="s">
        <v>99</v>
      </c>
      <c r="D67" s="0" t="s">
        <v>23</v>
      </c>
      <c r="E67" s="1" t="s">
        <v>19</v>
      </c>
      <c r="F67" s="6">
        <v>14340</v>
      </c>
      <c r="G67" s="0" t="s">
        <v>28</v>
      </c>
      <c r="H67" s="6">
        <v>38280</v>
      </c>
      <c r="I67" s="0" t="s">
        <v>29</v>
      </c>
      <c r="J67" s="0" t="s">
        <v>22</v>
      </c>
      <c r="K67" s="0">
        <v>58</v>
      </c>
      <c r="L67" s="0">
        <v>0</v>
      </c>
      <c r="M67" s="0">
        <v>0</v>
      </c>
      <c r="N67" s="0">
        <v>41.27</v>
      </c>
      <c r="O67" s="0">
        <v>1</v>
      </c>
      <c r="P67" s="0">
        <v>6</v>
      </c>
    </row>
    <row r="68" spans="1:23">
      <c r="A68" s="4">
        <v>6892</v>
      </c>
      <c r="B68" s="0" t="s">
        <v>16</v>
      </c>
      <c r="C68" s="0" t="s">
        <v>99</v>
      </c>
      <c r="D68" s="0" t="s">
        <v>30</v>
      </c>
      <c r="E68" s="1" t="s">
        <v>19</v>
      </c>
      <c r="F68" s="6">
        <v>20385</v>
      </c>
      <c r="G68" s="0" t="s">
        <v>31</v>
      </c>
      <c r="H68" s="6">
        <v>34479</v>
      </c>
      <c r="I68" s="0" t="s">
        <v>32</v>
      </c>
      <c r="J68" s="0" t="s">
        <v>33</v>
      </c>
      <c r="K68" s="0">
        <v>46</v>
      </c>
      <c r="L68" s="0" t="s">
        <v>27</v>
      </c>
      <c r="M68" s="0">
        <v>0</v>
      </c>
      <c r="N68" s="0">
        <v>0</v>
      </c>
      <c r="O68" s="0">
        <v>0</v>
      </c>
      <c r="P68" s="0">
        <v>0</v>
      </c>
    </row>
    <row r="69" spans="1:23">
      <c r="A69" s="4">
        <v>6892</v>
      </c>
      <c r="B69" s="0" t="s">
        <v>38</v>
      </c>
      <c r="C69" s="0" t="s">
        <v>99</v>
      </c>
      <c r="D69" s="0" t="s">
        <v>23</v>
      </c>
      <c r="E69" s="1" t="s">
        <v>19</v>
      </c>
      <c r="F69" s="6">
        <v>10423</v>
      </c>
      <c r="G69" s="0" t="s">
        <v>100</v>
      </c>
      <c r="H69" s="6">
        <v>20982</v>
      </c>
      <c r="I69" s="0" t="s">
        <v>101</v>
      </c>
      <c r="J69" s="0" t="s">
        <v>102</v>
      </c>
      <c r="K69" s="0">
        <v>52</v>
      </c>
      <c r="L69" s="0">
        <v>5</v>
      </c>
      <c r="M69" s="0">
        <v>0</v>
      </c>
      <c r="N69" s="0">
        <v>34.95</v>
      </c>
      <c r="O69" s="0">
        <v>0</v>
      </c>
      <c r="P69" s="0">
        <v>0</v>
      </c>
    </row>
    <row r="70" spans="1:23">
      <c r="A70" s="4">
        <v>6892</v>
      </c>
      <c r="B70" s="0" t="s">
        <v>38</v>
      </c>
      <c r="C70" s="0" t="s">
        <v>99</v>
      </c>
      <c r="D70" s="0" t="s">
        <v>39</v>
      </c>
      <c r="E70" s="0" t="s">
        <v>19</v>
      </c>
      <c r="F70" s="6">
        <v>7238</v>
      </c>
      <c r="G70" s="0" t="s">
        <v>94</v>
      </c>
      <c r="H70" s="6">
        <v>18907</v>
      </c>
      <c r="I70" s="0" t="s">
        <v>95</v>
      </c>
      <c r="J70" s="0" t="s">
        <v>42</v>
      </c>
      <c r="K70" s="0">
        <v>47</v>
      </c>
      <c r="L70" s="0">
        <v>5</v>
      </c>
      <c r="M70" s="0">
        <v>0</v>
      </c>
      <c r="N70" s="0">
        <v>28.43</v>
      </c>
      <c r="O70" s="0">
        <v>0</v>
      </c>
      <c r="P70" s="0">
        <v>0</v>
      </c>
    </row>
    <row r="71" spans="1:23">
      <c r="A71" s="4">
        <v>6892</v>
      </c>
      <c r="B71" s="0" t="s">
        <v>38</v>
      </c>
      <c r="C71" s="0" t="s">
        <v>99</v>
      </c>
      <c r="D71" s="0" t="s">
        <v>39</v>
      </c>
      <c r="E71" s="0" t="s">
        <v>19</v>
      </c>
      <c r="F71" s="6">
        <v>3312</v>
      </c>
      <c r="G71" s="0" t="s">
        <v>40</v>
      </c>
      <c r="H71" s="6">
        <v>20111</v>
      </c>
      <c r="I71" s="0" t="s">
        <v>41</v>
      </c>
      <c r="J71" s="0" t="s">
        <v>42</v>
      </c>
      <c r="K71" s="0">
        <v>47</v>
      </c>
      <c r="L71" s="0" t="s">
        <v>27</v>
      </c>
      <c r="M71" s="0">
        <v>0</v>
      </c>
      <c r="N71" s="0">
        <v>0</v>
      </c>
      <c r="O71" s="0">
        <v>0</v>
      </c>
      <c r="P71" s="0">
        <v>0</v>
      </c>
    </row>
    <row r="72" spans="1:23">
      <c r="A72" s="4">
        <v>6892</v>
      </c>
      <c r="B72" s="0" t="s">
        <v>38</v>
      </c>
      <c r="C72" s="0" t="s">
        <v>99</v>
      </c>
      <c r="D72" s="0" t="s">
        <v>30</v>
      </c>
      <c r="E72" s="0" t="s">
        <v>19</v>
      </c>
      <c r="F72" s="6">
        <v>10940</v>
      </c>
      <c r="G72" s="0" t="s">
        <v>45</v>
      </c>
      <c r="H72" s="6">
        <v>24142</v>
      </c>
      <c r="I72" s="0" t="s">
        <v>46</v>
      </c>
      <c r="J72" s="0" t="s">
        <v>42</v>
      </c>
      <c r="K72" s="0">
        <v>44</v>
      </c>
      <c r="L72" s="0" t="s">
        <v>27</v>
      </c>
      <c r="M72" s="0">
        <v>0</v>
      </c>
      <c r="N72" s="0">
        <v>0</v>
      </c>
      <c r="O72" s="0">
        <v>0</v>
      </c>
      <c r="P72" s="0">
        <v>0</v>
      </c>
    </row>
    <row r="73" spans="1:23">
      <c r="A73" s="4">
        <v>6892</v>
      </c>
      <c r="B73" s="0" t="s">
        <v>38</v>
      </c>
      <c r="C73" s="0" t="s">
        <v>99</v>
      </c>
      <c r="D73" s="0" t="s">
        <v>30</v>
      </c>
      <c r="E73" s="0" t="s">
        <v>19</v>
      </c>
      <c r="F73" s="6">
        <v>2755</v>
      </c>
      <c r="G73" s="0" t="s">
        <v>43</v>
      </c>
      <c r="H73" s="6">
        <v>26782</v>
      </c>
      <c r="I73" s="0" t="s">
        <v>44</v>
      </c>
      <c r="J73" s="0" t="s">
        <v>42</v>
      </c>
      <c r="K73" s="0">
        <v>44</v>
      </c>
      <c r="L73" s="0" t="s">
        <v>27</v>
      </c>
      <c r="M73" s="0">
        <v>0</v>
      </c>
      <c r="N73" s="0">
        <v>0</v>
      </c>
      <c r="O73" s="0">
        <v>0</v>
      </c>
      <c r="P73" s="0">
        <v>0</v>
      </c>
    </row>
    <row r="74" spans="1:23">
      <c r="A74" s="4">
        <v>6892</v>
      </c>
      <c r="B74" s="0" t="s">
        <v>38</v>
      </c>
      <c r="C74" s="0" t="s">
        <v>99</v>
      </c>
      <c r="D74" s="0" t="s">
        <v>34</v>
      </c>
      <c r="E74" s="0" t="s">
        <v>19</v>
      </c>
      <c r="F74" s="6">
        <v>3891</v>
      </c>
      <c r="G74" s="0" t="s">
        <v>49</v>
      </c>
      <c r="H74" s="6">
        <v>21216</v>
      </c>
      <c r="I74" s="0" t="s">
        <v>50</v>
      </c>
      <c r="J74" s="0" t="s">
        <v>42</v>
      </c>
      <c r="K74" s="0">
        <v>47</v>
      </c>
      <c r="L74" s="0">
        <v>0</v>
      </c>
      <c r="M74" s="0">
        <v>0</v>
      </c>
      <c r="N74" s="0">
        <v>29.14</v>
      </c>
      <c r="O74" s="0">
        <v>1</v>
      </c>
      <c r="P74" s="0">
        <v>6</v>
      </c>
    </row>
    <row r="75" spans="1:23">
      <c r="A75" s="4">
        <v>6892</v>
      </c>
      <c r="B75" s="0" t="s">
        <v>38</v>
      </c>
      <c r="C75" s="0" t="s">
        <v>99</v>
      </c>
      <c r="D75" s="0" t="s">
        <v>34</v>
      </c>
      <c r="E75" s="0" t="s">
        <v>19</v>
      </c>
      <c r="F75" s="6">
        <v>2724</v>
      </c>
      <c r="G75" s="0" t="s">
        <v>47</v>
      </c>
      <c r="H75" s="6">
        <v>20545</v>
      </c>
      <c r="I75" s="0" t="s">
        <v>48</v>
      </c>
      <c r="J75" s="0" t="s">
        <v>42</v>
      </c>
      <c r="K75" s="0">
        <v>47</v>
      </c>
      <c r="L75" s="0">
        <v>5</v>
      </c>
      <c r="M75" s="0">
        <v>0</v>
      </c>
      <c r="N75" s="0">
        <v>26.42</v>
      </c>
      <c r="O75" s="0">
        <v>0</v>
      </c>
      <c r="P75" s="0">
        <v>0</v>
      </c>
    </row>
    <row r="76" spans="1:23">
      <c r="A76" s="4">
        <v>6892</v>
      </c>
      <c r="B76" s="0" t="s">
        <v>38</v>
      </c>
      <c r="C76" s="0" t="s">
        <v>99</v>
      </c>
      <c r="D76" s="0" t="s">
        <v>51</v>
      </c>
      <c r="E76" s="0" t="s">
        <v>19</v>
      </c>
      <c r="F76" s="6">
        <v>10423</v>
      </c>
      <c r="G76" s="0" t="s">
        <v>100</v>
      </c>
      <c r="H76" s="6">
        <v>25420</v>
      </c>
      <c r="I76" s="0" t="s">
        <v>103</v>
      </c>
      <c r="J76" s="0" t="s">
        <v>42</v>
      </c>
      <c r="K76" s="0">
        <v>44</v>
      </c>
      <c r="L76" s="0" t="s">
        <v>27</v>
      </c>
      <c r="M76" s="0">
        <v>0</v>
      </c>
      <c r="N76" s="0">
        <v>0</v>
      </c>
      <c r="O76" s="0">
        <v>0</v>
      </c>
      <c r="P76" s="0">
        <v>0</v>
      </c>
    </row>
    <row r="77" spans="1:23">
      <c r="A77" s="4">
        <v>6892</v>
      </c>
      <c r="B77" s="0" t="s">
        <v>38</v>
      </c>
      <c r="C77" s="0" t="s">
        <v>99</v>
      </c>
      <c r="D77" s="0" t="s">
        <v>51</v>
      </c>
      <c r="E77" s="0" t="s">
        <v>19</v>
      </c>
      <c r="F77" s="6">
        <v>2720</v>
      </c>
      <c r="G77" s="0" t="s">
        <v>52</v>
      </c>
      <c r="H77" s="6">
        <v>24040</v>
      </c>
      <c r="I77" s="0" t="s">
        <v>53</v>
      </c>
      <c r="J77" s="0" t="s">
        <v>42</v>
      </c>
      <c r="K77" s="0">
        <v>44</v>
      </c>
      <c r="L77" s="0" t="s">
        <v>54</v>
      </c>
      <c r="M77" s="0">
        <v>0</v>
      </c>
      <c r="N77" s="0">
        <v>0</v>
      </c>
      <c r="O77" s="0">
        <v>0</v>
      </c>
      <c r="P77" s="0">
        <v>0</v>
      </c>
    </row>
    <row r="78" spans="1:23">
      <c r="A78" s="4">
        <v>6892</v>
      </c>
      <c r="B78" s="0" t="s">
        <v>38</v>
      </c>
      <c r="C78" s="0" t="s">
        <v>99</v>
      </c>
      <c r="D78" s="0" t="s">
        <v>51</v>
      </c>
      <c r="E78" s="0" t="s">
        <v>19</v>
      </c>
      <c r="F78" s="6">
        <v>3312</v>
      </c>
      <c r="G78" s="0" t="s">
        <v>40</v>
      </c>
      <c r="H78" s="6">
        <v>24750</v>
      </c>
      <c r="I78" s="0" t="s">
        <v>98</v>
      </c>
      <c r="J78" s="0" t="s">
        <v>42</v>
      </c>
      <c r="K78" s="0">
        <v>44</v>
      </c>
      <c r="L78" s="0" t="s">
        <v>27</v>
      </c>
      <c r="M78" s="0">
        <v>0</v>
      </c>
      <c r="N78" s="0">
        <v>0</v>
      </c>
      <c r="O78" s="0">
        <v>0</v>
      </c>
      <c r="P78" s="0">
        <v>0</v>
      </c>
    </row>
    <row r="79" spans="1:23">
      <c r="A79" s="4">
        <v>6892</v>
      </c>
      <c r="B79" s="0" t="s">
        <v>38</v>
      </c>
      <c r="C79" s="0" t="s">
        <v>99</v>
      </c>
      <c r="D79" s="0" t="s">
        <v>55</v>
      </c>
      <c r="E79" s="0" t="s">
        <v>19</v>
      </c>
      <c r="F79" s="6">
        <v>2720</v>
      </c>
      <c r="G79" s="0" t="s">
        <v>52</v>
      </c>
      <c r="H79" s="6">
        <v>31304</v>
      </c>
      <c r="I79" s="0" t="s">
        <v>56</v>
      </c>
      <c r="J79" s="0" t="s">
        <v>42</v>
      </c>
      <c r="K79" s="0">
        <v>44</v>
      </c>
      <c r="L79" s="0" t="s">
        <v>54</v>
      </c>
      <c r="M79" s="0">
        <v>0</v>
      </c>
      <c r="N79" s="0">
        <v>0</v>
      </c>
      <c r="O79" s="0">
        <v>0</v>
      </c>
      <c r="P79" s="0">
        <v>0</v>
      </c>
    </row>
    <row r="80" spans="1:23">
      <c r="A80" s="4">
        <v>6892</v>
      </c>
      <c r="B80" s="0" t="s">
        <v>38</v>
      </c>
      <c r="C80" s="0" t="s">
        <v>99</v>
      </c>
      <c r="D80" s="0" t="s">
        <v>59</v>
      </c>
      <c r="E80" s="0" t="s">
        <v>19</v>
      </c>
      <c r="F80" s="6">
        <v>6633</v>
      </c>
      <c r="G80" s="0" t="s">
        <v>60</v>
      </c>
      <c r="H80" s="6">
        <v>16720</v>
      </c>
      <c r="I80" s="0" t="s">
        <v>61</v>
      </c>
      <c r="J80" s="0" t="s">
        <v>62</v>
      </c>
      <c r="K80" s="0">
        <v>52</v>
      </c>
      <c r="L80" s="0">
        <v>0</v>
      </c>
      <c r="M80" s="0">
        <v>0</v>
      </c>
      <c r="N80" s="0">
        <v>31.76</v>
      </c>
      <c r="O80" s="0">
        <v>1</v>
      </c>
      <c r="P80" s="0">
        <v>6</v>
      </c>
    </row>
    <row r="81" spans="1:23">
      <c r="A81" s="4">
        <v>6892</v>
      </c>
      <c r="B81" s="0" t="s">
        <v>38</v>
      </c>
      <c r="C81" s="0" t="s">
        <v>99</v>
      </c>
      <c r="D81" s="0" t="s">
        <v>63</v>
      </c>
      <c r="E81" s="0" t="s">
        <v>19</v>
      </c>
      <c r="F81" s="6">
        <v>6633</v>
      </c>
      <c r="G81" s="0" t="s">
        <v>60</v>
      </c>
      <c r="H81" s="6">
        <v>29135</v>
      </c>
      <c r="I81" s="0" t="s">
        <v>64</v>
      </c>
      <c r="J81" s="0" t="s">
        <v>62</v>
      </c>
      <c r="K81" s="0">
        <v>49</v>
      </c>
      <c r="L81" s="0">
        <v>0</v>
      </c>
      <c r="M81" s="0">
        <v>0</v>
      </c>
      <c r="N81" s="0">
        <v>34.17</v>
      </c>
      <c r="O81" s="0">
        <v>1</v>
      </c>
      <c r="P81" s="0">
        <v>6</v>
      </c>
    </row>
    <row r="82" spans="1:23">
      <c r="A82" s="4">
        <v>6892</v>
      </c>
      <c r="B82" s="0" t="s">
        <v>65</v>
      </c>
      <c r="C82" s="0" t="s">
        <v>99</v>
      </c>
      <c r="D82" s="0" t="s">
        <v>18</v>
      </c>
      <c r="E82" s="0" t="s">
        <v>19</v>
      </c>
      <c r="F82" s="6">
        <v>21432</v>
      </c>
      <c r="G82" s="0" t="s">
        <v>69</v>
      </c>
      <c r="H82" s="6">
        <v>36357</v>
      </c>
      <c r="I82" s="0" t="s">
        <v>70</v>
      </c>
      <c r="J82" s="0" t="s">
        <v>71</v>
      </c>
      <c r="K82" s="0">
        <v>52</v>
      </c>
      <c r="L82" s="0" t="s">
        <v>27</v>
      </c>
      <c r="M82" s="0">
        <v>0</v>
      </c>
      <c r="N82" s="0">
        <v>0</v>
      </c>
      <c r="O82" s="0">
        <v>0</v>
      </c>
      <c r="P82" s="0">
        <v>0</v>
      </c>
    </row>
    <row r="83" spans="1:23">
      <c r="A83" s="4">
        <v>6892</v>
      </c>
      <c r="B83" s="0" t="s">
        <v>65</v>
      </c>
      <c r="C83" s="0" t="s">
        <v>99</v>
      </c>
      <c r="D83" s="0" t="s">
        <v>30</v>
      </c>
      <c r="E83" s="0" t="s">
        <v>19</v>
      </c>
      <c r="F83" s="6">
        <v>7238</v>
      </c>
      <c r="G83" s="0" t="s">
        <v>94</v>
      </c>
      <c r="H83" s="6">
        <v>37104</v>
      </c>
      <c r="I83" s="0" t="s">
        <v>104</v>
      </c>
      <c r="J83" s="0" t="s">
        <v>42</v>
      </c>
      <c r="K83" s="0">
        <v>46</v>
      </c>
      <c r="L83" s="0" t="s">
        <v>105</v>
      </c>
      <c r="M83" s="0">
        <v>0</v>
      </c>
      <c r="N83" s="0">
        <v>0</v>
      </c>
      <c r="O83" s="0">
        <v>0</v>
      </c>
      <c r="P83" s="0">
        <v>0</v>
      </c>
    </row>
    <row r="84" spans="1:23">
      <c r="A84" s="4">
        <v>6892</v>
      </c>
      <c r="B84" s="0" t="s">
        <v>65</v>
      </c>
      <c r="C84" s="0" t="s">
        <v>99</v>
      </c>
      <c r="D84" s="0" t="s">
        <v>30</v>
      </c>
      <c r="E84" s="0" t="s">
        <v>19</v>
      </c>
      <c r="F84" s="6">
        <v>1847</v>
      </c>
      <c r="G84" s="0" t="s">
        <v>57</v>
      </c>
      <c r="H84" s="6">
        <v>33522</v>
      </c>
      <c r="I84" s="0" t="s">
        <v>106</v>
      </c>
      <c r="J84" s="0" t="s">
        <v>42</v>
      </c>
      <c r="K84" s="0">
        <v>46</v>
      </c>
      <c r="L84" s="0" t="s">
        <v>105</v>
      </c>
      <c r="M84" s="0">
        <v>0</v>
      </c>
      <c r="N84" s="0">
        <v>0</v>
      </c>
      <c r="O84" s="0">
        <v>0</v>
      </c>
      <c r="P84" s="0">
        <v>0</v>
      </c>
    </row>
    <row r="85" spans="1:23">
      <c r="A85" s="4">
        <v>6892</v>
      </c>
      <c r="B85" s="0" t="s">
        <v>65</v>
      </c>
      <c r="C85" s="0" t="s">
        <v>99</v>
      </c>
      <c r="D85" s="0" t="s">
        <v>30</v>
      </c>
      <c r="E85" s="0" t="s">
        <v>19</v>
      </c>
      <c r="F85" s="6">
        <v>8486</v>
      </c>
      <c r="G85" s="0" t="s">
        <v>107</v>
      </c>
      <c r="H85" s="6">
        <v>36688</v>
      </c>
      <c r="I85" s="0" t="s">
        <v>108</v>
      </c>
      <c r="J85" s="0" t="s">
        <v>42</v>
      </c>
      <c r="K85" s="0">
        <v>46</v>
      </c>
      <c r="L85" s="0" t="s">
        <v>27</v>
      </c>
      <c r="M85" s="0">
        <v>0</v>
      </c>
      <c r="N85" s="0">
        <v>0</v>
      </c>
      <c r="O85" s="0">
        <v>0</v>
      </c>
      <c r="P85" s="0">
        <v>0</v>
      </c>
    </row>
    <row r="86" spans="1:23">
      <c r="A86" s="4">
        <v>6892</v>
      </c>
      <c r="B86" s="0" t="s">
        <v>65</v>
      </c>
      <c r="C86" s="0" t="s">
        <v>99</v>
      </c>
      <c r="D86" s="0" t="s">
        <v>34</v>
      </c>
      <c r="E86" s="0" t="s">
        <v>19</v>
      </c>
      <c r="F86" s="6">
        <v>19792</v>
      </c>
      <c r="G86" s="0" t="s">
        <v>72</v>
      </c>
      <c r="H86" s="6">
        <v>33395</v>
      </c>
      <c r="I86" s="0" t="s">
        <v>73</v>
      </c>
      <c r="J86" s="0" t="s">
        <v>74</v>
      </c>
      <c r="K86" s="0">
        <v>49</v>
      </c>
      <c r="L86" s="0" t="s">
        <v>27</v>
      </c>
      <c r="M86" s="0">
        <v>0</v>
      </c>
      <c r="N86" s="0">
        <v>0</v>
      </c>
      <c r="O86" s="0">
        <v>0</v>
      </c>
      <c r="P86" s="0">
        <v>0</v>
      </c>
    </row>
    <row r="87" spans="1:23">
      <c r="A87" s="4">
        <v>6892</v>
      </c>
      <c r="B87" s="0" t="s">
        <v>65</v>
      </c>
      <c r="C87" s="0" t="s">
        <v>99</v>
      </c>
      <c r="D87" s="0" t="s">
        <v>34</v>
      </c>
      <c r="E87" s="0" t="s">
        <v>19</v>
      </c>
      <c r="F87" s="6">
        <v>2720</v>
      </c>
      <c r="G87" s="0" t="s">
        <v>52</v>
      </c>
      <c r="H87" s="6">
        <v>32799</v>
      </c>
      <c r="I87" s="0" t="s">
        <v>75</v>
      </c>
      <c r="J87" s="0" t="s">
        <v>42</v>
      </c>
      <c r="K87" s="0">
        <v>49</v>
      </c>
      <c r="L87" s="0" t="s">
        <v>54</v>
      </c>
      <c r="M87" s="0">
        <v>0</v>
      </c>
      <c r="N87" s="0">
        <v>0</v>
      </c>
      <c r="O87" s="0">
        <v>0</v>
      </c>
      <c r="P87" s="0">
        <v>0</v>
      </c>
    </row>
    <row r="88" spans="1:23">
      <c r="A88" s="4">
        <v>6892</v>
      </c>
      <c r="B88" s="0" t="s">
        <v>65</v>
      </c>
      <c r="C88" s="0" t="s">
        <v>99</v>
      </c>
      <c r="D88" s="0" t="s">
        <v>63</v>
      </c>
      <c r="E88" s="0" t="s">
        <v>19</v>
      </c>
      <c r="F88" s="6">
        <v>16211</v>
      </c>
      <c r="G88" s="0" t="s">
        <v>76</v>
      </c>
      <c r="H88" s="6">
        <v>38645</v>
      </c>
      <c r="I88" s="0" t="s">
        <v>77</v>
      </c>
      <c r="J88" s="0" t="s">
        <v>78</v>
      </c>
      <c r="K88" s="0">
        <v>52</v>
      </c>
      <c r="L88" s="0">
        <v>0</v>
      </c>
      <c r="M88" s="0">
        <v>0</v>
      </c>
      <c r="N88" s="0">
        <v>33.28</v>
      </c>
      <c r="O88" s="0">
        <v>1</v>
      </c>
      <c r="P88" s="0">
        <v>6</v>
      </c>
    </row>
    <row r="89" spans="1:23">
      <c r="A89" s="4">
        <v>6892</v>
      </c>
      <c r="B89" s="0" t="s">
        <v>65</v>
      </c>
      <c r="C89" s="0" t="s">
        <v>99</v>
      </c>
      <c r="D89" s="0" t="s">
        <v>79</v>
      </c>
      <c r="E89" s="0" t="s">
        <v>19</v>
      </c>
      <c r="F89" s="6">
        <v>2720</v>
      </c>
      <c r="G89" s="0" t="s">
        <v>52</v>
      </c>
      <c r="H89" s="6">
        <v>33555</v>
      </c>
      <c r="I89" s="0" t="s">
        <v>80</v>
      </c>
      <c r="J89" s="0" t="s">
        <v>81</v>
      </c>
      <c r="K89" s="0">
        <v>55</v>
      </c>
      <c r="L89" s="0" t="s">
        <v>54</v>
      </c>
      <c r="M89" s="0">
        <v>0</v>
      </c>
      <c r="N89" s="0">
        <v>0</v>
      </c>
      <c r="O89" s="0">
        <v>0</v>
      </c>
      <c r="P89" s="0">
        <v>0</v>
      </c>
    </row>
    <row r="90" spans="1:23">
      <c r="A90" s="4">
        <v>6892</v>
      </c>
      <c r="B90" s="0" t="s">
        <v>82</v>
      </c>
      <c r="C90" s="0" t="s">
        <v>99</v>
      </c>
      <c r="D90" s="0" t="s">
        <v>18</v>
      </c>
      <c r="E90" s="0" t="s">
        <v>19</v>
      </c>
      <c r="F90" s="6">
        <v>8400</v>
      </c>
      <c r="G90" s="0" t="s">
        <v>85</v>
      </c>
      <c r="H90" s="6">
        <v>22845</v>
      </c>
      <c r="I90" s="0" t="s">
        <v>86</v>
      </c>
      <c r="J90" s="0" t="s">
        <v>87</v>
      </c>
      <c r="K90" s="0">
        <v>49</v>
      </c>
      <c r="L90" s="0">
        <v>0</v>
      </c>
      <c r="M90" s="0">
        <v>0</v>
      </c>
      <c r="N90" s="0">
        <v>32.06</v>
      </c>
      <c r="O90" s="0">
        <v>1</v>
      </c>
      <c r="P90" s="0">
        <v>6</v>
      </c>
    </row>
    <row r="91" spans="1:23">
      <c r="A91" s="4">
        <v>6892</v>
      </c>
      <c r="B91" s="0" t="s">
        <v>82</v>
      </c>
      <c r="C91" s="0" t="s">
        <v>99</v>
      </c>
      <c r="D91" s="0" t="s">
        <v>23</v>
      </c>
      <c r="E91" s="0" t="s">
        <v>19</v>
      </c>
      <c r="F91" s="6">
        <v>8399</v>
      </c>
      <c r="G91" s="0" t="s">
        <v>88</v>
      </c>
      <c r="H91" s="6">
        <v>20543</v>
      </c>
      <c r="I91" s="0" t="s">
        <v>89</v>
      </c>
      <c r="J91" s="0" t="s">
        <v>87</v>
      </c>
      <c r="K91" s="0">
        <v>52</v>
      </c>
      <c r="L91" s="0">
        <v>5</v>
      </c>
      <c r="M91" s="0">
        <v>0</v>
      </c>
      <c r="N91" s="0">
        <v>61.62</v>
      </c>
      <c r="O91" s="0">
        <v>0</v>
      </c>
      <c r="P91" s="0">
        <v>0</v>
      </c>
    </row>
    <row r="92" spans="1:23">
      <c r="A92" s="4">
        <v>6892</v>
      </c>
      <c r="B92" s="0" t="s">
        <v>82</v>
      </c>
      <c r="C92" s="0" t="s">
        <v>99</v>
      </c>
      <c r="D92" s="0" t="s">
        <v>30</v>
      </c>
      <c r="E92" s="0" t="s">
        <v>19</v>
      </c>
      <c r="F92" s="6">
        <v>1847</v>
      </c>
      <c r="G92" s="0" t="s">
        <v>57</v>
      </c>
      <c r="H92" s="6">
        <v>29457</v>
      </c>
      <c r="I92" s="0" t="s">
        <v>90</v>
      </c>
      <c r="J92" s="0" t="s">
        <v>42</v>
      </c>
      <c r="K92" s="0">
        <v>44</v>
      </c>
      <c r="L92" s="0" t="s">
        <v>27</v>
      </c>
      <c r="M92" s="0">
        <v>0</v>
      </c>
      <c r="N92" s="0">
        <v>0</v>
      </c>
      <c r="O92" s="0">
        <v>0</v>
      </c>
      <c r="P92" s="0">
        <v>0</v>
      </c>
    </row>
    <row r="93" spans="1:23">
      <c r="A93" s="4">
        <v>6892</v>
      </c>
      <c r="B93" s="0" t="s">
        <v>16</v>
      </c>
      <c r="C93" s="0" t="s">
        <v>109</v>
      </c>
      <c r="D93" s="0" t="s">
        <v>18</v>
      </c>
      <c r="E93" s="0" t="s">
        <v>19</v>
      </c>
      <c r="F93" s="6">
        <v>12404</v>
      </c>
      <c r="G93" s="0" t="s">
        <v>110</v>
      </c>
      <c r="H93" s="6">
        <v>39338</v>
      </c>
      <c r="I93" s="0" t="s">
        <v>111</v>
      </c>
      <c r="J93" s="0" t="s">
        <v>112</v>
      </c>
      <c r="K93" s="0">
        <v>56</v>
      </c>
      <c r="L93" s="0">
        <v>10</v>
      </c>
      <c r="M93" s="0">
        <v>0</v>
      </c>
      <c r="N93" s="0">
        <v>68.55</v>
      </c>
      <c r="O93" s="0">
        <v>0</v>
      </c>
      <c r="P93" s="0">
        <v>0</v>
      </c>
    </row>
    <row r="94" spans="1:23">
      <c r="A94" s="4">
        <v>6892</v>
      </c>
      <c r="B94" s="0" t="s">
        <v>16</v>
      </c>
      <c r="C94" s="0" t="s">
        <v>109</v>
      </c>
      <c r="D94" s="0" t="s">
        <v>23</v>
      </c>
      <c r="E94" s="0" t="s">
        <v>19</v>
      </c>
      <c r="F94" s="6">
        <v>22012</v>
      </c>
      <c r="G94" s="0" t="s">
        <v>24</v>
      </c>
      <c r="H94" s="6">
        <v>37580</v>
      </c>
      <c r="I94" s="0" t="s">
        <v>25</v>
      </c>
      <c r="J94" s="0" t="s">
        <v>26</v>
      </c>
      <c r="K94" s="0">
        <v>59</v>
      </c>
      <c r="L94" s="0">
        <v>0</v>
      </c>
      <c r="M94" s="0">
        <v>0</v>
      </c>
      <c r="N94" s="0">
        <v>38.09</v>
      </c>
      <c r="O94" s="0">
        <v>1</v>
      </c>
      <c r="P94" s="0">
        <v>6</v>
      </c>
    </row>
    <row r="95" spans="1:23">
      <c r="A95" s="4">
        <v>6892</v>
      </c>
      <c r="B95" s="0" t="s">
        <v>16</v>
      </c>
      <c r="C95" s="0" t="s">
        <v>109</v>
      </c>
      <c r="D95" s="0" t="s">
        <v>23</v>
      </c>
      <c r="E95" s="0" t="s">
        <v>19</v>
      </c>
      <c r="F95" s="6">
        <v>14340</v>
      </c>
      <c r="G95" s="0" t="s">
        <v>28</v>
      </c>
      <c r="H95" s="6">
        <v>38280</v>
      </c>
      <c r="I95" s="0" t="s">
        <v>29</v>
      </c>
      <c r="J95" s="0" t="s">
        <v>22</v>
      </c>
      <c r="K95" s="0">
        <v>59</v>
      </c>
      <c r="L95" s="0">
        <v>0</v>
      </c>
      <c r="M95" s="0">
        <v>0</v>
      </c>
      <c r="N95" s="0">
        <v>41.81</v>
      </c>
      <c r="O95" s="0">
        <v>2</v>
      </c>
      <c r="P95" s="0">
        <v>5</v>
      </c>
    </row>
    <row r="96" spans="1:23">
      <c r="A96" s="4">
        <v>6892</v>
      </c>
      <c r="B96" s="0" t="s">
        <v>38</v>
      </c>
      <c r="C96" s="0" t="s">
        <v>109</v>
      </c>
      <c r="D96" s="0" t="s">
        <v>39</v>
      </c>
      <c r="E96" s="0" t="s">
        <v>19</v>
      </c>
      <c r="F96" s="6">
        <v>7238</v>
      </c>
      <c r="G96" s="0" t="s">
        <v>94</v>
      </c>
      <c r="H96" s="6">
        <v>18907</v>
      </c>
      <c r="I96" s="0" t="s">
        <v>95</v>
      </c>
      <c r="J96" s="0" t="s">
        <v>42</v>
      </c>
      <c r="K96" s="0">
        <v>47</v>
      </c>
      <c r="L96" s="0">
        <v>0</v>
      </c>
      <c r="M96" s="0">
        <v>0</v>
      </c>
      <c r="N96" s="0">
        <v>24.58</v>
      </c>
      <c r="O96" s="0">
        <v>1</v>
      </c>
      <c r="P96" s="0">
        <v>6</v>
      </c>
    </row>
    <row r="97" spans="1:23">
      <c r="A97" s="4">
        <v>6892</v>
      </c>
      <c r="B97" s="0" t="s">
        <v>38</v>
      </c>
      <c r="C97" s="0" t="s">
        <v>109</v>
      </c>
      <c r="D97" s="0" t="s">
        <v>39</v>
      </c>
      <c r="E97" s="0" t="s">
        <v>19</v>
      </c>
      <c r="F97" s="6">
        <v>3312</v>
      </c>
      <c r="G97" s="0" t="s">
        <v>40</v>
      </c>
      <c r="H97" s="6">
        <v>20111</v>
      </c>
      <c r="I97" s="0" t="s">
        <v>41</v>
      </c>
      <c r="J97" s="0" t="s">
        <v>42</v>
      </c>
      <c r="K97" s="0">
        <v>47</v>
      </c>
      <c r="L97" s="0">
        <v>0</v>
      </c>
      <c r="M97" s="0">
        <v>0</v>
      </c>
      <c r="N97" s="0">
        <v>37.06</v>
      </c>
      <c r="O97" s="0">
        <v>2</v>
      </c>
      <c r="P97" s="0">
        <v>5</v>
      </c>
    </row>
    <row r="98" spans="1:23">
      <c r="A98" s="4">
        <v>6892</v>
      </c>
      <c r="B98" s="0" t="s">
        <v>38</v>
      </c>
      <c r="C98" s="0" t="s">
        <v>109</v>
      </c>
      <c r="D98" s="0" t="s">
        <v>30</v>
      </c>
      <c r="E98" s="0" t="s">
        <v>19</v>
      </c>
      <c r="F98" s="6">
        <v>2755</v>
      </c>
      <c r="G98" s="0" t="s">
        <v>43</v>
      </c>
      <c r="H98" s="6">
        <v>26782</v>
      </c>
      <c r="I98" s="0" t="s">
        <v>44</v>
      </c>
      <c r="J98" s="0" t="s">
        <v>42</v>
      </c>
      <c r="K98" s="0">
        <v>44</v>
      </c>
      <c r="L98" s="0" t="s">
        <v>27</v>
      </c>
      <c r="M98" s="0">
        <v>0</v>
      </c>
      <c r="N98" s="0">
        <v>0</v>
      </c>
      <c r="O98" s="0">
        <v>0</v>
      </c>
      <c r="P98" s="0">
        <v>0</v>
      </c>
    </row>
    <row r="99" spans="1:23">
      <c r="A99" s="4">
        <v>6892</v>
      </c>
      <c r="B99" s="0" t="s">
        <v>38</v>
      </c>
      <c r="C99" s="0" t="s">
        <v>109</v>
      </c>
      <c r="D99" s="0" t="s">
        <v>30</v>
      </c>
      <c r="E99" s="0" t="s">
        <v>19</v>
      </c>
      <c r="F99" s="6">
        <v>8486</v>
      </c>
      <c r="G99" s="0" t="s">
        <v>107</v>
      </c>
      <c r="H99" s="6">
        <v>25395</v>
      </c>
      <c r="I99" s="0" t="s">
        <v>113</v>
      </c>
      <c r="J99" s="0" t="s">
        <v>42</v>
      </c>
      <c r="K99" s="0">
        <v>44</v>
      </c>
      <c r="L99" s="0">
        <v>0</v>
      </c>
      <c r="M99" s="0">
        <v>0</v>
      </c>
      <c r="N99" s="0">
        <v>26.28</v>
      </c>
      <c r="O99" s="0">
        <v>2</v>
      </c>
      <c r="P99" s="0">
        <v>5</v>
      </c>
    </row>
    <row r="100" spans="1:23">
      <c r="A100" s="4">
        <v>6892</v>
      </c>
      <c r="B100" s="0" t="s">
        <v>38</v>
      </c>
      <c r="C100" s="0" t="s">
        <v>109</v>
      </c>
      <c r="D100" s="0" t="s">
        <v>30</v>
      </c>
      <c r="E100" s="0" t="s">
        <v>19</v>
      </c>
      <c r="F100" s="6">
        <v>10940</v>
      </c>
      <c r="G100" s="0" t="s">
        <v>45</v>
      </c>
      <c r="H100" s="6">
        <v>24142</v>
      </c>
      <c r="I100" s="0" t="s">
        <v>46</v>
      </c>
      <c r="J100" s="0" t="s">
        <v>42</v>
      </c>
      <c r="K100" s="0">
        <v>44</v>
      </c>
      <c r="L100" s="0">
        <v>0</v>
      </c>
      <c r="M100" s="0">
        <v>0</v>
      </c>
      <c r="N100" s="0">
        <v>26.25</v>
      </c>
      <c r="O100" s="0">
        <v>1</v>
      </c>
      <c r="P100" s="0">
        <v>6</v>
      </c>
    </row>
    <row r="101" spans="1:23">
      <c r="A101" s="4">
        <v>6892</v>
      </c>
      <c r="B101" s="0" t="s">
        <v>38</v>
      </c>
      <c r="C101" s="0" t="s">
        <v>109</v>
      </c>
      <c r="D101" s="0" t="s">
        <v>34</v>
      </c>
      <c r="E101" s="0" t="s">
        <v>19</v>
      </c>
      <c r="F101" s="6">
        <v>3891</v>
      </c>
      <c r="G101" s="0" t="s">
        <v>49</v>
      </c>
      <c r="H101" s="6">
        <v>21216</v>
      </c>
      <c r="I101" s="0" t="s">
        <v>50</v>
      </c>
      <c r="J101" s="0" t="s">
        <v>42</v>
      </c>
      <c r="K101" s="0">
        <v>47</v>
      </c>
      <c r="L101" s="0">
        <v>5</v>
      </c>
      <c r="M101" s="0">
        <v>0</v>
      </c>
      <c r="N101" s="0">
        <v>29.7</v>
      </c>
      <c r="O101" s="0">
        <v>0</v>
      </c>
      <c r="P101" s="0">
        <v>0</v>
      </c>
    </row>
    <row r="102" spans="1:23">
      <c r="A102" s="4">
        <v>6892</v>
      </c>
      <c r="B102" s="0" t="s">
        <v>38</v>
      </c>
      <c r="C102" s="0" t="s">
        <v>109</v>
      </c>
      <c r="D102" s="0" t="s">
        <v>51</v>
      </c>
      <c r="E102" s="0" t="s">
        <v>19</v>
      </c>
      <c r="F102" s="6">
        <v>2720</v>
      </c>
      <c r="G102" s="0" t="s">
        <v>52</v>
      </c>
      <c r="H102" s="6">
        <v>24040</v>
      </c>
      <c r="I102" s="0" t="s">
        <v>53</v>
      </c>
      <c r="J102" s="0" t="s">
        <v>42</v>
      </c>
      <c r="K102" s="0">
        <v>44</v>
      </c>
      <c r="L102" s="0" t="s">
        <v>54</v>
      </c>
      <c r="M102" s="0">
        <v>0</v>
      </c>
      <c r="N102" s="0">
        <v>0</v>
      </c>
      <c r="O102" s="0">
        <v>0</v>
      </c>
      <c r="P102" s="0">
        <v>0</v>
      </c>
    </row>
    <row r="103" spans="1:23">
      <c r="A103" s="4">
        <v>6892</v>
      </c>
      <c r="B103" s="0" t="s">
        <v>38</v>
      </c>
      <c r="C103" s="0" t="s">
        <v>109</v>
      </c>
      <c r="D103" s="0" t="s">
        <v>51</v>
      </c>
      <c r="E103" s="0" t="s">
        <v>19</v>
      </c>
      <c r="F103" s="6">
        <v>3312</v>
      </c>
      <c r="G103" s="0" t="s">
        <v>40</v>
      </c>
      <c r="H103" s="6">
        <v>24750</v>
      </c>
      <c r="I103" s="0" t="s">
        <v>98</v>
      </c>
      <c r="J103" s="0" t="s">
        <v>42</v>
      </c>
      <c r="K103" s="0">
        <v>44</v>
      </c>
      <c r="L103" s="0" t="s">
        <v>27</v>
      </c>
      <c r="M103" s="0">
        <v>0</v>
      </c>
      <c r="N103" s="0">
        <v>0</v>
      </c>
      <c r="O103" s="0">
        <v>0</v>
      </c>
      <c r="P103" s="0">
        <v>0</v>
      </c>
    </row>
    <row r="104" spans="1:23">
      <c r="A104" s="4">
        <v>6892</v>
      </c>
      <c r="B104" s="0" t="s">
        <v>38</v>
      </c>
      <c r="C104" s="0" t="s">
        <v>109</v>
      </c>
      <c r="D104" s="0" t="s">
        <v>55</v>
      </c>
      <c r="E104" s="0" t="s">
        <v>19</v>
      </c>
      <c r="F104" s="6">
        <v>2720</v>
      </c>
      <c r="G104" s="0" t="s">
        <v>52</v>
      </c>
      <c r="H104" s="6">
        <v>31304</v>
      </c>
      <c r="I104" s="0" t="s">
        <v>56</v>
      </c>
      <c r="J104" s="0" t="s">
        <v>42</v>
      </c>
      <c r="K104" s="0">
        <v>44</v>
      </c>
      <c r="L104" s="0" t="s">
        <v>54</v>
      </c>
      <c r="M104" s="0">
        <v>0</v>
      </c>
      <c r="N104" s="0">
        <v>0</v>
      </c>
      <c r="O104" s="0">
        <v>0</v>
      </c>
      <c r="P104" s="0">
        <v>0</v>
      </c>
    </row>
    <row r="105" spans="1:23">
      <c r="A105" s="4">
        <v>6892</v>
      </c>
      <c r="B105" s="0" t="s">
        <v>38</v>
      </c>
      <c r="C105" s="0" t="s">
        <v>109</v>
      </c>
      <c r="D105" s="0" t="s">
        <v>63</v>
      </c>
      <c r="E105" s="0" t="s">
        <v>19</v>
      </c>
      <c r="F105" s="6">
        <v>6633</v>
      </c>
      <c r="G105" s="0" t="s">
        <v>60</v>
      </c>
      <c r="H105" s="6">
        <v>29135</v>
      </c>
      <c r="I105" s="0" t="s">
        <v>64</v>
      </c>
      <c r="J105" s="0" t="s">
        <v>62</v>
      </c>
      <c r="K105" s="0">
        <v>48</v>
      </c>
      <c r="L105" s="0" t="s">
        <v>27</v>
      </c>
      <c r="M105" s="0">
        <v>0</v>
      </c>
      <c r="N105" s="0">
        <v>0</v>
      </c>
      <c r="O105" s="0">
        <v>0</v>
      </c>
      <c r="P105" s="0">
        <v>0</v>
      </c>
    </row>
    <row r="106" spans="1:23">
      <c r="A106" s="4">
        <v>6892</v>
      </c>
      <c r="B106" s="0" t="s">
        <v>65</v>
      </c>
      <c r="C106" s="0" t="s">
        <v>109</v>
      </c>
      <c r="D106" s="0" t="s">
        <v>18</v>
      </c>
      <c r="E106" s="0" t="s">
        <v>19</v>
      </c>
      <c r="F106" s="6">
        <v>21432</v>
      </c>
      <c r="G106" s="0" t="s">
        <v>69</v>
      </c>
      <c r="H106" s="6">
        <v>36357</v>
      </c>
      <c r="I106" s="0" t="s">
        <v>70</v>
      </c>
      <c r="J106" s="0" t="s">
        <v>71</v>
      </c>
      <c r="K106" s="0">
        <v>54</v>
      </c>
      <c r="L106" s="0">
        <v>5</v>
      </c>
      <c r="M106" s="0">
        <v>0</v>
      </c>
      <c r="N106" s="0">
        <v>41.49</v>
      </c>
      <c r="O106" s="0">
        <v>0</v>
      </c>
      <c r="P106" s="0">
        <v>0</v>
      </c>
    </row>
    <row r="107" spans="1:23">
      <c r="A107" s="4">
        <v>6892</v>
      </c>
      <c r="B107" s="0" t="s">
        <v>65</v>
      </c>
      <c r="C107" s="0" t="s">
        <v>109</v>
      </c>
      <c r="D107" s="0" t="s">
        <v>30</v>
      </c>
      <c r="E107" s="0" t="s">
        <v>19</v>
      </c>
      <c r="F107" s="6">
        <v>1847</v>
      </c>
      <c r="G107" s="0" t="s">
        <v>57</v>
      </c>
      <c r="H107" s="6">
        <v>33522</v>
      </c>
      <c r="I107" s="0" t="s">
        <v>106</v>
      </c>
      <c r="J107" s="0" t="s">
        <v>42</v>
      </c>
      <c r="K107" s="0">
        <v>47</v>
      </c>
      <c r="L107" s="0" t="s">
        <v>105</v>
      </c>
      <c r="M107" s="0">
        <v>0</v>
      </c>
      <c r="N107" s="0">
        <v>0</v>
      </c>
      <c r="O107" s="0">
        <v>0</v>
      </c>
      <c r="P107" s="0">
        <v>0</v>
      </c>
    </row>
    <row r="108" spans="1:23">
      <c r="A108" s="4">
        <v>6892</v>
      </c>
      <c r="B108" s="0" t="s">
        <v>65</v>
      </c>
      <c r="C108" s="0" t="s">
        <v>109</v>
      </c>
      <c r="D108" s="0" t="s">
        <v>30</v>
      </c>
      <c r="E108" s="0" t="s">
        <v>19</v>
      </c>
      <c r="F108" s="6">
        <v>8486</v>
      </c>
      <c r="G108" s="0" t="s">
        <v>107</v>
      </c>
      <c r="H108" s="6">
        <v>36688</v>
      </c>
      <c r="I108" s="0" t="s">
        <v>108</v>
      </c>
      <c r="J108" s="0" t="s">
        <v>42</v>
      </c>
      <c r="K108" s="0">
        <v>47</v>
      </c>
      <c r="L108" s="0" t="s">
        <v>27</v>
      </c>
      <c r="M108" s="0">
        <v>0</v>
      </c>
      <c r="N108" s="0">
        <v>0</v>
      </c>
      <c r="O108" s="0">
        <v>0</v>
      </c>
      <c r="P108" s="0">
        <v>0</v>
      </c>
    </row>
    <row r="109" spans="1:23">
      <c r="A109" s="4">
        <v>6892</v>
      </c>
      <c r="B109" s="0" t="s">
        <v>65</v>
      </c>
      <c r="C109" s="0" t="s">
        <v>109</v>
      </c>
      <c r="D109" s="0" t="s">
        <v>34</v>
      </c>
      <c r="E109" s="0" t="s">
        <v>19</v>
      </c>
      <c r="F109" s="6">
        <v>2720</v>
      </c>
      <c r="G109" s="0" t="s">
        <v>52</v>
      </c>
      <c r="H109" s="6">
        <v>32799</v>
      </c>
      <c r="I109" s="0" t="s">
        <v>75</v>
      </c>
      <c r="J109" s="0" t="s">
        <v>42</v>
      </c>
      <c r="K109" s="0">
        <v>50</v>
      </c>
      <c r="L109" s="0" t="s">
        <v>54</v>
      </c>
      <c r="M109" s="0">
        <v>0</v>
      </c>
      <c r="N109" s="0">
        <v>0</v>
      </c>
      <c r="O109" s="0">
        <v>0</v>
      </c>
      <c r="P109" s="0">
        <v>0</v>
      </c>
    </row>
    <row r="110" spans="1:23">
      <c r="A110" s="4">
        <v>6892</v>
      </c>
      <c r="B110" s="0" t="s">
        <v>65</v>
      </c>
      <c r="C110" s="0" t="s">
        <v>109</v>
      </c>
      <c r="D110" s="0" t="s">
        <v>63</v>
      </c>
      <c r="E110" s="0" t="s">
        <v>19</v>
      </c>
      <c r="F110" s="6">
        <v>16211</v>
      </c>
      <c r="G110" s="0" t="s">
        <v>76</v>
      </c>
      <c r="H110" s="6">
        <v>38645</v>
      </c>
      <c r="I110" s="0" t="s">
        <v>77</v>
      </c>
      <c r="J110" s="0" t="s">
        <v>78</v>
      </c>
      <c r="K110" s="0">
        <v>54</v>
      </c>
      <c r="L110" s="0">
        <v>0</v>
      </c>
      <c r="M110" s="0">
        <v>0</v>
      </c>
      <c r="N110" s="0">
        <v>33.03</v>
      </c>
      <c r="O110" s="0">
        <v>1</v>
      </c>
      <c r="P110" s="0">
        <v>6</v>
      </c>
    </row>
    <row r="111" spans="1:23">
      <c r="A111" s="4">
        <v>6892</v>
      </c>
      <c r="B111" s="0" t="s">
        <v>65</v>
      </c>
      <c r="C111" s="0" t="s">
        <v>109</v>
      </c>
      <c r="D111" s="0" t="s">
        <v>79</v>
      </c>
      <c r="E111" s="0" t="s">
        <v>19</v>
      </c>
      <c r="F111" s="6">
        <v>2720</v>
      </c>
      <c r="G111" s="0" t="s">
        <v>52</v>
      </c>
      <c r="H111" s="6">
        <v>33555</v>
      </c>
      <c r="I111" s="0" t="s">
        <v>80</v>
      </c>
      <c r="J111" s="0" t="s">
        <v>81</v>
      </c>
      <c r="K111" s="0">
        <v>57</v>
      </c>
      <c r="L111" s="0" t="s">
        <v>54</v>
      </c>
      <c r="M111" s="0">
        <v>0</v>
      </c>
      <c r="N111" s="0">
        <v>0</v>
      </c>
      <c r="O111" s="0">
        <v>0</v>
      </c>
      <c r="P111" s="0">
        <v>0</v>
      </c>
    </row>
    <row r="112" spans="1:23">
      <c r="A112" s="4">
        <v>6892</v>
      </c>
      <c r="B112" s="0" t="s">
        <v>16</v>
      </c>
      <c r="C112" s="0" t="s">
        <v>114</v>
      </c>
      <c r="D112" s="0" t="s">
        <v>30</v>
      </c>
      <c r="E112" s="0" t="s">
        <v>19</v>
      </c>
      <c r="F112" s="6">
        <v>20385</v>
      </c>
      <c r="G112" s="0" t="s">
        <v>31</v>
      </c>
      <c r="H112" s="6">
        <v>34479</v>
      </c>
      <c r="I112" s="0" t="s">
        <v>32</v>
      </c>
      <c r="J112" s="0" t="s">
        <v>33</v>
      </c>
      <c r="K112" s="0">
        <v>48</v>
      </c>
      <c r="L112" s="0">
        <v>0</v>
      </c>
      <c r="M112" s="0">
        <v>35</v>
      </c>
      <c r="N112" s="0">
        <v>51.41</v>
      </c>
      <c r="O112" s="0">
        <v>0</v>
      </c>
      <c r="P112" s="0">
        <v>0</v>
      </c>
    </row>
    <row r="113" spans="1:23">
      <c r="A113" s="4">
        <v>6892</v>
      </c>
      <c r="B113" s="0" t="s">
        <v>38</v>
      </c>
      <c r="C113" s="0" t="s">
        <v>114</v>
      </c>
      <c r="D113" s="0" t="s">
        <v>30</v>
      </c>
      <c r="E113" s="0" t="s">
        <v>19</v>
      </c>
      <c r="F113" s="6">
        <v>8486</v>
      </c>
      <c r="G113" s="0" t="s">
        <v>107</v>
      </c>
      <c r="H113" s="6">
        <v>25395</v>
      </c>
      <c r="I113" s="0" t="s">
        <v>113</v>
      </c>
      <c r="J113" s="0" t="s">
        <v>42</v>
      </c>
      <c r="K113" s="0">
        <v>48</v>
      </c>
      <c r="L113" s="0" t="s">
        <v>27</v>
      </c>
      <c r="M113" s="0">
        <v>0</v>
      </c>
      <c r="N113" s="0">
        <v>0</v>
      </c>
      <c r="O113" s="0">
        <v>0</v>
      </c>
      <c r="P113" s="0">
        <v>0</v>
      </c>
    </row>
    <row r="114" spans="1:23">
      <c r="A114" s="4">
        <v>6892</v>
      </c>
      <c r="B114" s="0" t="s">
        <v>38</v>
      </c>
      <c r="C114" s="0" t="s">
        <v>114</v>
      </c>
      <c r="D114" s="0" t="s">
        <v>34</v>
      </c>
      <c r="E114" s="0" t="s">
        <v>19</v>
      </c>
      <c r="F114" s="6">
        <v>3891</v>
      </c>
      <c r="G114" s="0" t="s">
        <v>49</v>
      </c>
      <c r="H114" s="6">
        <v>21216</v>
      </c>
      <c r="I114" s="0" t="s">
        <v>50</v>
      </c>
      <c r="J114" s="0" t="s">
        <v>42</v>
      </c>
      <c r="K114" s="0">
        <v>48</v>
      </c>
      <c r="L114" s="0">
        <v>0</v>
      </c>
      <c r="M114" s="0">
        <v>45</v>
      </c>
      <c r="N114" s="0">
        <v>29.68</v>
      </c>
      <c r="O114" s="0">
        <v>1</v>
      </c>
      <c r="P114" s="0">
        <v>6</v>
      </c>
    </row>
    <row r="115" spans="1:23">
      <c r="A115" s="4">
        <v>6892</v>
      </c>
      <c r="B115" s="0" t="s">
        <v>38</v>
      </c>
      <c r="C115" s="0" t="s">
        <v>114</v>
      </c>
      <c r="D115" s="0" t="s">
        <v>34</v>
      </c>
      <c r="E115" s="0" t="s">
        <v>19</v>
      </c>
      <c r="F115" s="6">
        <v>2724</v>
      </c>
      <c r="G115" s="0" t="s">
        <v>47</v>
      </c>
      <c r="H115" s="6">
        <v>20545</v>
      </c>
      <c r="I115" s="0" t="s">
        <v>48</v>
      </c>
      <c r="J115" s="0" t="s">
        <v>42</v>
      </c>
      <c r="K115" s="0">
        <v>48</v>
      </c>
      <c r="L115" s="0">
        <v>0</v>
      </c>
      <c r="M115" s="0">
        <v>44</v>
      </c>
      <c r="N115" s="0">
        <v>33.37</v>
      </c>
      <c r="O115" s="0">
        <v>2</v>
      </c>
      <c r="P115" s="0">
        <v>5</v>
      </c>
    </row>
    <row r="116" spans="1:23">
      <c r="A116" s="4">
        <v>6892</v>
      </c>
      <c r="B116" s="0" t="s">
        <v>38</v>
      </c>
      <c r="C116" s="0" t="s">
        <v>114</v>
      </c>
      <c r="D116" s="0" t="s">
        <v>51</v>
      </c>
      <c r="E116" s="0" t="s">
        <v>19</v>
      </c>
      <c r="F116" s="6">
        <v>10423</v>
      </c>
      <c r="G116" s="0" t="s">
        <v>100</v>
      </c>
      <c r="H116" s="6">
        <v>25420</v>
      </c>
      <c r="I116" s="0" t="s">
        <v>103</v>
      </c>
      <c r="J116" s="0" t="s">
        <v>42</v>
      </c>
      <c r="K116" s="0">
        <v>48</v>
      </c>
      <c r="L116" s="0">
        <v>0</v>
      </c>
      <c r="M116" s="0">
        <v>45</v>
      </c>
      <c r="N116" s="0">
        <v>39.06</v>
      </c>
      <c r="O116" s="0">
        <v>1</v>
      </c>
      <c r="P116" s="0">
        <v>6</v>
      </c>
    </row>
    <row r="117" spans="1:23">
      <c r="A117" s="4">
        <v>6892</v>
      </c>
      <c r="B117" s="0" t="s">
        <v>38</v>
      </c>
      <c r="C117" s="0" t="s">
        <v>114</v>
      </c>
      <c r="D117" s="0" t="s">
        <v>51</v>
      </c>
      <c r="E117" s="0" t="s">
        <v>19</v>
      </c>
      <c r="F117" s="6">
        <v>2720</v>
      </c>
      <c r="G117" s="0" t="s">
        <v>52</v>
      </c>
      <c r="H117" s="6">
        <v>24040</v>
      </c>
      <c r="I117" s="0" t="s">
        <v>53</v>
      </c>
      <c r="J117" s="0" t="s">
        <v>42</v>
      </c>
      <c r="K117" s="0">
        <v>48</v>
      </c>
      <c r="L117" s="0" t="s">
        <v>54</v>
      </c>
      <c r="M117" s="0">
        <v>0</v>
      </c>
      <c r="N117" s="0">
        <v>0</v>
      </c>
      <c r="O117" s="0">
        <v>0</v>
      </c>
      <c r="P117" s="0">
        <v>0</v>
      </c>
    </row>
    <row r="118" spans="1:23">
      <c r="A118" s="4">
        <v>6892</v>
      </c>
      <c r="B118" s="0" t="s">
        <v>38</v>
      </c>
      <c r="C118" s="0" t="s">
        <v>114</v>
      </c>
      <c r="D118" s="0" t="s">
        <v>51</v>
      </c>
      <c r="E118" s="0" t="s">
        <v>19</v>
      </c>
      <c r="F118" s="6">
        <v>3312</v>
      </c>
      <c r="G118" s="0" t="s">
        <v>40</v>
      </c>
      <c r="H118" s="6">
        <v>24750</v>
      </c>
      <c r="I118" s="0" t="s">
        <v>98</v>
      </c>
      <c r="J118" s="0" t="s">
        <v>42</v>
      </c>
      <c r="K118" s="0">
        <v>48</v>
      </c>
      <c r="L118" s="0">
        <v>0</v>
      </c>
      <c r="M118" s="0">
        <v>42</v>
      </c>
      <c r="N118" s="0">
        <v>35.1</v>
      </c>
      <c r="O118" s="0">
        <v>2</v>
      </c>
      <c r="P118" s="0">
        <v>5</v>
      </c>
    </row>
    <row r="119" spans="1:23">
      <c r="A119" s="4">
        <v>6892</v>
      </c>
      <c r="B119" s="0" t="s">
        <v>38</v>
      </c>
      <c r="C119" s="0" t="s">
        <v>114</v>
      </c>
      <c r="D119" s="0" t="s">
        <v>55</v>
      </c>
      <c r="E119" s="0" t="s">
        <v>19</v>
      </c>
      <c r="F119" s="6">
        <v>1847</v>
      </c>
      <c r="G119" s="0" t="s">
        <v>57</v>
      </c>
      <c r="H119" s="6">
        <v>25013</v>
      </c>
      <c r="I119" s="0" t="s">
        <v>58</v>
      </c>
      <c r="J119" s="0" t="s">
        <v>42</v>
      </c>
      <c r="K119" s="0">
        <v>48</v>
      </c>
      <c r="L119" s="0" t="s">
        <v>54</v>
      </c>
      <c r="M119" s="0">
        <v>0</v>
      </c>
      <c r="N119" s="0">
        <v>0</v>
      </c>
      <c r="O119" s="0">
        <v>0</v>
      </c>
      <c r="P119" s="0">
        <v>0</v>
      </c>
    </row>
    <row r="120" spans="1:23">
      <c r="A120" s="4">
        <v>6892</v>
      </c>
      <c r="B120" s="0" t="s">
        <v>38</v>
      </c>
      <c r="C120" s="0" t="s">
        <v>114</v>
      </c>
      <c r="D120" s="0" t="s">
        <v>55</v>
      </c>
      <c r="E120" s="0" t="s">
        <v>19</v>
      </c>
      <c r="F120" s="6">
        <v>2720</v>
      </c>
      <c r="G120" s="0" t="s">
        <v>52</v>
      </c>
      <c r="H120" s="6">
        <v>31304</v>
      </c>
      <c r="I120" s="0" t="s">
        <v>56</v>
      </c>
      <c r="J120" s="0" t="s">
        <v>42</v>
      </c>
      <c r="K120" s="0">
        <v>48</v>
      </c>
      <c r="L120" s="0" t="s">
        <v>54</v>
      </c>
      <c r="M120" s="0">
        <v>0</v>
      </c>
      <c r="N120" s="0">
        <v>0</v>
      </c>
      <c r="O120" s="0">
        <v>0</v>
      </c>
      <c r="P120" s="0">
        <v>0</v>
      </c>
    </row>
    <row r="121" spans="1:23">
      <c r="A121" s="4">
        <v>6892</v>
      </c>
      <c r="B121" s="0" t="s">
        <v>38</v>
      </c>
      <c r="C121" s="0" t="s">
        <v>114</v>
      </c>
      <c r="D121" s="0" t="s">
        <v>59</v>
      </c>
      <c r="E121" s="0" t="s">
        <v>19</v>
      </c>
      <c r="F121" s="6">
        <v>6633</v>
      </c>
      <c r="G121" s="0" t="s">
        <v>60</v>
      </c>
      <c r="H121" s="6">
        <v>16720</v>
      </c>
      <c r="I121" s="0" t="s">
        <v>61</v>
      </c>
      <c r="J121" s="0" t="s">
        <v>62</v>
      </c>
      <c r="K121" s="0">
        <v>51</v>
      </c>
      <c r="L121" s="0">
        <v>0</v>
      </c>
      <c r="M121" s="0">
        <v>46</v>
      </c>
      <c r="N121" s="0">
        <v>41.59</v>
      </c>
      <c r="O121" s="0">
        <v>1</v>
      </c>
      <c r="P121" s="0">
        <v>6</v>
      </c>
    </row>
    <row r="122" spans="1:23">
      <c r="A122" s="4">
        <v>6892</v>
      </c>
      <c r="B122" s="0" t="s">
        <v>38</v>
      </c>
      <c r="C122" s="0" t="s">
        <v>114</v>
      </c>
      <c r="D122" s="0" t="s">
        <v>63</v>
      </c>
      <c r="E122" s="0" t="s">
        <v>19</v>
      </c>
      <c r="F122" s="6">
        <v>6633</v>
      </c>
      <c r="G122" s="0" t="s">
        <v>60</v>
      </c>
      <c r="H122" s="6">
        <v>29135</v>
      </c>
      <c r="I122" s="0" t="s">
        <v>64</v>
      </c>
      <c r="J122" s="0" t="s">
        <v>62</v>
      </c>
      <c r="K122" s="0">
        <v>51</v>
      </c>
      <c r="L122" s="0">
        <v>0</v>
      </c>
      <c r="M122" s="0">
        <v>46</v>
      </c>
      <c r="N122" s="0">
        <v>38.38</v>
      </c>
      <c r="O122" s="0">
        <v>1</v>
      </c>
      <c r="P122" s="0">
        <v>6</v>
      </c>
    </row>
    <row r="123" spans="1:23">
      <c r="A123" s="4">
        <v>6892</v>
      </c>
      <c r="B123" s="0" t="s">
        <v>65</v>
      </c>
      <c r="C123" s="0" t="s">
        <v>114</v>
      </c>
      <c r="D123" s="0" t="s">
        <v>18</v>
      </c>
      <c r="E123" s="0" t="s">
        <v>19</v>
      </c>
      <c r="F123" s="6">
        <v>21432</v>
      </c>
      <c r="G123" s="0" t="s">
        <v>69</v>
      </c>
      <c r="H123" s="6">
        <v>36357</v>
      </c>
      <c r="I123" s="0" t="s">
        <v>70</v>
      </c>
      <c r="J123" s="0" t="s">
        <v>71</v>
      </c>
      <c r="K123" s="0">
        <v>51</v>
      </c>
      <c r="L123" s="0" t="s">
        <v>27</v>
      </c>
      <c r="M123" s="0">
        <v>0</v>
      </c>
      <c r="N123" s="0">
        <v>0</v>
      </c>
      <c r="O123" s="0">
        <v>0</v>
      </c>
      <c r="P123" s="0">
        <v>0</v>
      </c>
    </row>
    <row r="124" spans="1:23">
      <c r="A124" s="4">
        <v>6892</v>
      </c>
      <c r="B124" s="0" t="s">
        <v>65</v>
      </c>
      <c r="C124" s="0" t="s">
        <v>114</v>
      </c>
      <c r="D124" s="0" t="s">
        <v>30</v>
      </c>
      <c r="E124" s="0" t="s">
        <v>19</v>
      </c>
      <c r="F124" s="6">
        <v>8486</v>
      </c>
      <c r="G124" s="0" t="s">
        <v>107</v>
      </c>
      <c r="H124" s="6">
        <v>36688</v>
      </c>
      <c r="I124" s="0" t="s">
        <v>108</v>
      </c>
      <c r="J124" s="0" t="s">
        <v>42</v>
      </c>
      <c r="K124" s="0">
        <v>48</v>
      </c>
      <c r="L124" s="0">
        <v>0</v>
      </c>
      <c r="M124" s="0">
        <v>1</v>
      </c>
      <c r="N124" s="0">
        <v>20</v>
      </c>
      <c r="O124" s="0">
        <v>0</v>
      </c>
      <c r="P124" s="0">
        <v>0</v>
      </c>
    </row>
    <row r="125" spans="1:23">
      <c r="A125" s="4">
        <v>6892</v>
      </c>
      <c r="B125" s="0" t="s">
        <v>65</v>
      </c>
      <c r="C125" s="0" t="s">
        <v>114</v>
      </c>
      <c r="D125" s="0" t="s">
        <v>34</v>
      </c>
      <c r="E125" s="0" t="s">
        <v>19</v>
      </c>
      <c r="F125" s="6">
        <v>2720</v>
      </c>
      <c r="G125" s="0" t="s">
        <v>52</v>
      </c>
      <c r="H125" s="6">
        <v>32799</v>
      </c>
      <c r="I125" s="0" t="s">
        <v>75</v>
      </c>
      <c r="J125" s="0" t="s">
        <v>42</v>
      </c>
      <c r="K125" s="0">
        <v>48</v>
      </c>
      <c r="L125" s="0" t="s">
        <v>54</v>
      </c>
      <c r="M125" s="0">
        <v>0</v>
      </c>
      <c r="N125" s="0">
        <v>0</v>
      </c>
      <c r="O125" s="0">
        <v>0</v>
      </c>
      <c r="P125" s="0">
        <v>0</v>
      </c>
    </row>
    <row r="126" spans="1:23">
      <c r="A126" s="4">
        <v>6892</v>
      </c>
      <c r="B126" s="0" t="s">
        <v>65</v>
      </c>
      <c r="C126" s="0" t="s">
        <v>114</v>
      </c>
      <c r="D126" s="0" t="s">
        <v>63</v>
      </c>
      <c r="E126" s="0" t="s">
        <v>19</v>
      </c>
      <c r="F126" s="6">
        <v>16211</v>
      </c>
      <c r="G126" s="0" t="s">
        <v>76</v>
      </c>
      <c r="H126" s="6">
        <v>38645</v>
      </c>
      <c r="I126" s="0" t="s">
        <v>77</v>
      </c>
      <c r="J126" s="0" t="s">
        <v>78</v>
      </c>
      <c r="K126" s="0">
        <v>51</v>
      </c>
      <c r="L126" s="0">
        <v>0</v>
      </c>
      <c r="M126" s="0">
        <v>42</v>
      </c>
      <c r="N126" s="0">
        <v>35.95</v>
      </c>
      <c r="O126" s="0">
        <v>1</v>
      </c>
      <c r="P126" s="0">
        <v>6</v>
      </c>
    </row>
    <row r="127" spans="1:23">
      <c r="A127" s="4">
        <v>6892</v>
      </c>
      <c r="B127" s="0" t="s">
        <v>65</v>
      </c>
      <c r="C127" s="0" t="s">
        <v>114</v>
      </c>
      <c r="D127" s="0" t="s">
        <v>79</v>
      </c>
      <c r="E127" s="0" t="s">
        <v>19</v>
      </c>
      <c r="F127" s="6">
        <v>2720</v>
      </c>
      <c r="G127" s="0" t="s">
        <v>52</v>
      </c>
      <c r="H127" s="6">
        <v>33555</v>
      </c>
      <c r="I127" s="0" t="s">
        <v>80</v>
      </c>
      <c r="J127" s="0" t="s">
        <v>81</v>
      </c>
      <c r="K127" s="0">
        <v>51</v>
      </c>
      <c r="L127" s="0" t="s">
        <v>54</v>
      </c>
      <c r="M127" s="0">
        <v>0</v>
      </c>
      <c r="N127" s="0">
        <v>0</v>
      </c>
      <c r="O127" s="0">
        <v>0</v>
      </c>
      <c r="P127" s="0">
        <v>0</v>
      </c>
    </row>
    <row r="128" spans="1:23">
      <c r="A128" s="4">
        <v>6892</v>
      </c>
      <c r="B128" s="0" t="s">
        <v>82</v>
      </c>
      <c r="C128" s="0" t="s">
        <v>114</v>
      </c>
      <c r="D128" s="0" t="s">
        <v>18</v>
      </c>
      <c r="E128" s="0" t="s">
        <v>19</v>
      </c>
      <c r="F128" s="6">
        <v>8347</v>
      </c>
      <c r="G128" s="0" t="s">
        <v>66</v>
      </c>
      <c r="H128" s="6">
        <v>20086</v>
      </c>
      <c r="I128" s="0" t="s">
        <v>83</v>
      </c>
      <c r="J128" s="0" t="s">
        <v>84</v>
      </c>
      <c r="K128" s="0">
        <v>51</v>
      </c>
      <c r="L128" s="0">
        <v>0</v>
      </c>
      <c r="M128" s="0">
        <v>32</v>
      </c>
      <c r="N128" s="0">
        <v>44.84</v>
      </c>
      <c r="O128" s="0">
        <v>0</v>
      </c>
      <c r="P128" s="0">
        <v>0</v>
      </c>
    </row>
    <row r="129" spans="1:23">
      <c r="A129" s="4">
        <v>6892</v>
      </c>
      <c r="B129" s="0" t="s">
        <v>82</v>
      </c>
      <c r="C129" s="0" t="s">
        <v>114</v>
      </c>
      <c r="D129" s="0" t="s">
        <v>23</v>
      </c>
      <c r="E129" s="0" t="s">
        <v>19</v>
      </c>
      <c r="F129" s="6">
        <v>8399</v>
      </c>
      <c r="G129" s="0" t="s">
        <v>88</v>
      </c>
      <c r="H129" s="6">
        <v>20543</v>
      </c>
      <c r="I129" s="0" t="s">
        <v>89</v>
      </c>
      <c r="J129" s="0" t="s">
        <v>87</v>
      </c>
      <c r="K129" s="0">
        <v>51</v>
      </c>
      <c r="L129" s="0">
        <v>0</v>
      </c>
      <c r="M129" s="0">
        <v>20</v>
      </c>
      <c r="N129" s="0">
        <v>70.52</v>
      </c>
      <c r="O129" s="0">
        <v>0</v>
      </c>
      <c r="P129" s="0">
        <v>0</v>
      </c>
    </row>
    <row r="130" spans="1:23">
      <c r="A130" s="4">
        <v>6892</v>
      </c>
      <c r="B130" s="0" t="s">
        <v>16</v>
      </c>
      <c r="C130" s="0" t="s">
        <v>115</v>
      </c>
      <c r="D130" s="0" t="s">
        <v>18</v>
      </c>
      <c r="E130" s="0" t="s">
        <v>19</v>
      </c>
      <c r="F130" s="6">
        <v>12404</v>
      </c>
      <c r="G130" s="0" t="s">
        <v>110</v>
      </c>
      <c r="H130" s="6">
        <v>39338</v>
      </c>
      <c r="I130" s="0" t="s">
        <v>111</v>
      </c>
      <c r="J130" s="0" t="s">
        <v>112</v>
      </c>
      <c r="K130" s="0">
        <v>54</v>
      </c>
      <c r="L130" s="0">
        <v>0</v>
      </c>
      <c r="M130" s="0">
        <v>0</v>
      </c>
      <c r="N130" s="0">
        <v>37.54</v>
      </c>
      <c r="O130" s="0">
        <v>1</v>
      </c>
      <c r="P130" s="0">
        <v>6</v>
      </c>
    </row>
    <row r="131" spans="1:23">
      <c r="A131" s="4">
        <v>6892</v>
      </c>
      <c r="B131" s="0" t="s">
        <v>16</v>
      </c>
      <c r="C131" s="0" t="s">
        <v>115</v>
      </c>
      <c r="D131" s="0" t="s">
        <v>18</v>
      </c>
      <c r="E131" s="0" t="s">
        <v>19</v>
      </c>
      <c r="F131" s="6">
        <v>21432</v>
      </c>
      <c r="G131" s="0" t="s">
        <v>69</v>
      </c>
      <c r="H131" s="6">
        <v>38794</v>
      </c>
      <c r="I131" s="0" t="s">
        <v>116</v>
      </c>
      <c r="J131" s="0" t="s">
        <v>71</v>
      </c>
      <c r="K131" s="0">
        <v>54</v>
      </c>
      <c r="L131" s="0" t="s">
        <v>105</v>
      </c>
      <c r="M131" s="0">
        <v>0</v>
      </c>
      <c r="N131" s="0">
        <v>0</v>
      </c>
      <c r="O131" s="0">
        <v>0</v>
      </c>
      <c r="P131" s="0">
        <v>0</v>
      </c>
    </row>
    <row r="132" spans="1:23">
      <c r="A132" s="4">
        <v>6892</v>
      </c>
      <c r="B132" s="0" t="s">
        <v>16</v>
      </c>
      <c r="C132" s="0" t="s">
        <v>115</v>
      </c>
      <c r="D132" s="0" t="s">
        <v>18</v>
      </c>
      <c r="E132" s="0" t="s">
        <v>19</v>
      </c>
      <c r="F132" s="6">
        <v>22247</v>
      </c>
      <c r="G132" s="0" t="s">
        <v>20</v>
      </c>
      <c r="H132" s="6">
        <v>38009</v>
      </c>
      <c r="I132" s="0" t="s">
        <v>21</v>
      </c>
      <c r="J132" s="0" t="s">
        <v>22</v>
      </c>
      <c r="K132" s="0">
        <v>54</v>
      </c>
      <c r="L132" s="0" t="s">
        <v>27</v>
      </c>
      <c r="M132" s="0">
        <v>0</v>
      </c>
      <c r="N132" s="0">
        <v>0</v>
      </c>
      <c r="O132" s="0">
        <v>0</v>
      </c>
      <c r="P132" s="0">
        <v>0</v>
      </c>
    </row>
    <row r="133" spans="1:23">
      <c r="A133" s="4">
        <v>6892</v>
      </c>
      <c r="B133" s="0" t="s">
        <v>16</v>
      </c>
      <c r="C133" s="0" t="s">
        <v>115</v>
      </c>
      <c r="D133" s="0" t="s">
        <v>23</v>
      </c>
      <c r="E133" s="0" t="s">
        <v>19</v>
      </c>
      <c r="F133" s="6">
        <v>14340</v>
      </c>
      <c r="G133" s="0" t="s">
        <v>28</v>
      </c>
      <c r="H133" s="6">
        <v>38280</v>
      </c>
      <c r="I133" s="0" t="s">
        <v>29</v>
      </c>
      <c r="J133" s="0" t="s">
        <v>22</v>
      </c>
      <c r="K133" s="0">
        <v>57</v>
      </c>
      <c r="L133" s="0">
        <v>0</v>
      </c>
      <c r="M133" s="0">
        <v>0</v>
      </c>
      <c r="N133" s="0">
        <v>34.09</v>
      </c>
      <c r="O133" s="0">
        <v>2</v>
      </c>
      <c r="P133" s="0">
        <v>5</v>
      </c>
    </row>
    <row r="134" spans="1:23">
      <c r="A134" s="4">
        <v>6892</v>
      </c>
      <c r="B134" s="0" t="s">
        <v>16</v>
      </c>
      <c r="C134" s="0" t="s">
        <v>115</v>
      </c>
      <c r="D134" s="0" t="s">
        <v>23</v>
      </c>
      <c r="E134" s="0" t="s">
        <v>19</v>
      </c>
      <c r="F134" s="6">
        <v>22012</v>
      </c>
      <c r="G134" s="0" t="s">
        <v>24</v>
      </c>
      <c r="H134" s="6">
        <v>37580</v>
      </c>
      <c r="I134" s="0" t="s">
        <v>25</v>
      </c>
      <c r="J134" s="0" t="s">
        <v>26</v>
      </c>
      <c r="K134" s="0">
        <v>57</v>
      </c>
      <c r="L134" s="0">
        <v>0</v>
      </c>
      <c r="M134" s="0">
        <v>0</v>
      </c>
      <c r="N134" s="0">
        <v>33.05</v>
      </c>
      <c r="O134" s="0">
        <v>1</v>
      </c>
      <c r="P134" s="0">
        <v>6</v>
      </c>
    </row>
    <row r="135" spans="1:23">
      <c r="A135" s="4">
        <v>6892</v>
      </c>
      <c r="B135" s="0" t="s">
        <v>16</v>
      </c>
      <c r="C135" s="0" t="s">
        <v>115</v>
      </c>
      <c r="D135" s="0" t="s">
        <v>117</v>
      </c>
      <c r="E135" s="0" t="s">
        <v>19</v>
      </c>
      <c r="F135" s="6">
        <v>23026</v>
      </c>
      <c r="G135" s="0" t="s">
        <v>118</v>
      </c>
      <c r="H135" s="6">
        <v>39415</v>
      </c>
      <c r="I135" s="0" t="s">
        <v>119</v>
      </c>
      <c r="J135" s="0" t="s">
        <v>120</v>
      </c>
      <c r="K135" s="0">
        <v>54</v>
      </c>
      <c r="L135" s="0">
        <v>0</v>
      </c>
      <c r="M135" s="0">
        <v>0</v>
      </c>
      <c r="N135" s="0">
        <v>31.51</v>
      </c>
      <c r="O135" s="0">
        <v>1</v>
      </c>
      <c r="P135" s="0">
        <v>6</v>
      </c>
    </row>
    <row r="136" spans="1:23">
      <c r="A136" s="4">
        <v>6892</v>
      </c>
      <c r="B136" s="0" t="s">
        <v>16</v>
      </c>
      <c r="C136" s="0" t="s">
        <v>115</v>
      </c>
      <c r="D136" s="0" t="s">
        <v>30</v>
      </c>
      <c r="E136" s="0" t="s">
        <v>19</v>
      </c>
      <c r="F136" s="6">
        <v>20385</v>
      </c>
      <c r="G136" s="0" t="s">
        <v>31</v>
      </c>
      <c r="H136" s="6">
        <v>34479</v>
      </c>
      <c r="I136" s="0" t="s">
        <v>32</v>
      </c>
      <c r="J136" s="0" t="s">
        <v>33</v>
      </c>
      <c r="K136" s="0">
        <v>45</v>
      </c>
      <c r="L136" s="0">
        <v>0</v>
      </c>
      <c r="M136" s="0">
        <v>0</v>
      </c>
      <c r="N136" s="0">
        <v>29.73</v>
      </c>
      <c r="O136" s="0">
        <v>1</v>
      </c>
      <c r="P136" s="0">
        <v>6</v>
      </c>
    </row>
    <row r="137" spans="1:23">
      <c r="A137" s="4">
        <v>6892</v>
      </c>
      <c r="B137" s="0" t="s">
        <v>16</v>
      </c>
      <c r="C137" s="0" t="s">
        <v>115</v>
      </c>
      <c r="D137" s="0" t="s">
        <v>59</v>
      </c>
      <c r="E137" s="0" t="s">
        <v>19</v>
      </c>
      <c r="F137" s="6">
        <v>22891</v>
      </c>
      <c r="G137" s="0" t="s">
        <v>121</v>
      </c>
      <c r="H137" s="6">
        <v>39181</v>
      </c>
      <c r="I137" s="0" t="s">
        <v>122</v>
      </c>
      <c r="J137" s="0" t="s">
        <v>123</v>
      </c>
      <c r="K137" s="0">
        <v>57</v>
      </c>
      <c r="L137" s="0" t="s">
        <v>27</v>
      </c>
      <c r="M137" s="0">
        <v>0</v>
      </c>
      <c r="N137" s="0">
        <v>0</v>
      </c>
      <c r="O137" s="0">
        <v>0</v>
      </c>
      <c r="P137" s="0">
        <v>0</v>
      </c>
    </row>
    <row r="138" spans="1:23">
      <c r="A138" s="4">
        <v>6892</v>
      </c>
      <c r="B138" s="0" t="s">
        <v>38</v>
      </c>
      <c r="C138" s="0" t="s">
        <v>115</v>
      </c>
      <c r="D138" s="0" t="s">
        <v>18</v>
      </c>
      <c r="E138" s="0" t="s">
        <v>19</v>
      </c>
      <c r="F138" s="6">
        <v>8400</v>
      </c>
      <c r="G138" s="0" t="s">
        <v>85</v>
      </c>
      <c r="H138" s="6">
        <v>22845</v>
      </c>
      <c r="I138" s="0" t="s">
        <v>86</v>
      </c>
      <c r="J138" s="0" t="s">
        <v>87</v>
      </c>
      <c r="K138" s="0">
        <v>51</v>
      </c>
      <c r="L138" s="0" t="s">
        <v>27</v>
      </c>
      <c r="M138" s="0">
        <v>0</v>
      </c>
      <c r="N138" s="0">
        <v>0</v>
      </c>
      <c r="O138" s="0">
        <v>0</v>
      </c>
      <c r="P138" s="0">
        <v>0</v>
      </c>
    </row>
    <row r="139" spans="1:23">
      <c r="A139" s="4">
        <v>6892</v>
      </c>
      <c r="B139" s="0" t="s">
        <v>38</v>
      </c>
      <c r="C139" s="0" t="s">
        <v>115</v>
      </c>
      <c r="D139" s="0" t="s">
        <v>30</v>
      </c>
      <c r="E139" s="0" t="s">
        <v>19</v>
      </c>
      <c r="F139" s="6">
        <v>8486</v>
      </c>
      <c r="G139" s="0" t="s">
        <v>107</v>
      </c>
      <c r="H139" s="6">
        <v>25395</v>
      </c>
      <c r="I139" s="0" t="s">
        <v>113</v>
      </c>
      <c r="J139" s="0" t="s">
        <v>42</v>
      </c>
      <c r="K139" s="0">
        <v>47</v>
      </c>
      <c r="L139" s="0" t="s">
        <v>27</v>
      </c>
      <c r="M139" s="0">
        <v>0</v>
      </c>
      <c r="N139" s="0">
        <v>0</v>
      </c>
      <c r="O139" s="0">
        <v>0</v>
      </c>
      <c r="P139" s="0">
        <v>0</v>
      </c>
    </row>
    <row r="140" spans="1:23">
      <c r="A140" s="4">
        <v>6892</v>
      </c>
      <c r="B140" s="0" t="s">
        <v>38</v>
      </c>
      <c r="C140" s="0" t="s">
        <v>115</v>
      </c>
      <c r="D140" s="0" t="s">
        <v>34</v>
      </c>
      <c r="E140" s="0" t="s">
        <v>19</v>
      </c>
      <c r="F140" s="6">
        <v>2724</v>
      </c>
      <c r="G140" s="0" t="s">
        <v>47</v>
      </c>
      <c r="H140" s="6">
        <v>20545</v>
      </c>
      <c r="I140" s="0" t="s">
        <v>48</v>
      </c>
      <c r="J140" s="0" t="s">
        <v>42</v>
      </c>
      <c r="K140" s="0">
        <v>50</v>
      </c>
      <c r="L140" s="0" t="s">
        <v>27</v>
      </c>
      <c r="M140" s="0">
        <v>0</v>
      </c>
      <c r="N140" s="0">
        <v>0</v>
      </c>
      <c r="O140" s="0">
        <v>0</v>
      </c>
      <c r="P140" s="0">
        <v>0</v>
      </c>
    </row>
    <row r="141" spans="1:23">
      <c r="A141" s="4">
        <v>6892</v>
      </c>
      <c r="B141" s="0" t="s">
        <v>38</v>
      </c>
      <c r="C141" s="0" t="s">
        <v>115</v>
      </c>
      <c r="D141" s="0" t="s">
        <v>51</v>
      </c>
      <c r="E141" s="0" t="s">
        <v>19</v>
      </c>
      <c r="F141" s="6">
        <v>2720</v>
      </c>
      <c r="G141" s="0" t="s">
        <v>52</v>
      </c>
      <c r="H141" s="6">
        <v>24040</v>
      </c>
      <c r="I141" s="0" t="s">
        <v>53</v>
      </c>
      <c r="J141" s="0" t="s">
        <v>42</v>
      </c>
      <c r="K141" s="0">
        <v>47</v>
      </c>
      <c r="L141" s="0" t="s">
        <v>54</v>
      </c>
      <c r="M141" s="0">
        <v>0</v>
      </c>
      <c r="N141" s="0">
        <v>0</v>
      </c>
      <c r="O141" s="0">
        <v>0</v>
      </c>
      <c r="P141" s="0">
        <v>0</v>
      </c>
    </row>
    <row r="142" spans="1:23">
      <c r="A142" s="4">
        <v>6892</v>
      </c>
      <c r="B142" s="0" t="s">
        <v>38</v>
      </c>
      <c r="C142" s="0" t="s">
        <v>115</v>
      </c>
      <c r="D142" s="0" t="s">
        <v>55</v>
      </c>
      <c r="E142" s="0" t="s">
        <v>19</v>
      </c>
      <c r="F142" s="6">
        <v>1847</v>
      </c>
      <c r="G142" s="0" t="s">
        <v>57</v>
      </c>
      <c r="H142" s="6">
        <v>25013</v>
      </c>
      <c r="I142" s="0" t="s">
        <v>58</v>
      </c>
      <c r="J142" s="0" t="s">
        <v>42</v>
      </c>
      <c r="K142" s="0">
        <v>47</v>
      </c>
      <c r="L142" s="0" t="s">
        <v>54</v>
      </c>
      <c r="M142" s="0">
        <v>0</v>
      </c>
      <c r="N142" s="0">
        <v>0</v>
      </c>
      <c r="O142" s="0">
        <v>0</v>
      </c>
      <c r="P142" s="0">
        <v>0</v>
      </c>
    </row>
    <row r="143" spans="1:23">
      <c r="A143" s="4">
        <v>6892</v>
      </c>
      <c r="B143" s="0" t="s">
        <v>38</v>
      </c>
      <c r="C143" s="0" t="s">
        <v>115</v>
      </c>
      <c r="D143" s="0" t="s">
        <v>55</v>
      </c>
      <c r="E143" s="0" t="s">
        <v>19</v>
      </c>
      <c r="F143" s="6">
        <v>2720</v>
      </c>
      <c r="G143" s="0" t="s">
        <v>52</v>
      </c>
      <c r="H143" s="6">
        <v>31304</v>
      </c>
      <c r="I143" s="0" t="s">
        <v>56</v>
      </c>
      <c r="J143" s="0" t="s">
        <v>42</v>
      </c>
      <c r="K143" s="0">
        <v>47</v>
      </c>
      <c r="L143" s="0" t="s">
        <v>54</v>
      </c>
      <c r="M143" s="0">
        <v>0</v>
      </c>
      <c r="N143" s="0">
        <v>0</v>
      </c>
      <c r="O143" s="0">
        <v>0</v>
      </c>
      <c r="P143" s="0">
        <v>0</v>
      </c>
    </row>
    <row r="144" spans="1:23">
      <c r="A144" s="4">
        <v>6892</v>
      </c>
      <c r="B144" s="0" t="s">
        <v>38</v>
      </c>
      <c r="C144" s="0" t="s">
        <v>115</v>
      </c>
      <c r="D144" s="0" t="s">
        <v>59</v>
      </c>
      <c r="E144" s="0" t="s">
        <v>19</v>
      </c>
      <c r="F144" s="6">
        <v>6633</v>
      </c>
      <c r="G144" s="0" t="s">
        <v>60</v>
      </c>
      <c r="H144" s="6">
        <v>16720</v>
      </c>
      <c r="I144" s="0" t="s">
        <v>61</v>
      </c>
      <c r="J144" s="0" t="s">
        <v>62</v>
      </c>
      <c r="K144" s="0">
        <v>54</v>
      </c>
      <c r="L144" s="0">
        <v>0</v>
      </c>
      <c r="M144" s="0">
        <v>0</v>
      </c>
      <c r="N144" s="0">
        <v>32.31</v>
      </c>
      <c r="O144" s="0">
        <v>1</v>
      </c>
      <c r="P144" s="0">
        <v>6</v>
      </c>
    </row>
    <row r="145" spans="1:23">
      <c r="A145" s="4">
        <v>6892</v>
      </c>
      <c r="B145" s="0" t="s">
        <v>65</v>
      </c>
      <c r="C145" s="0" t="s">
        <v>115</v>
      </c>
      <c r="D145" s="0" t="s">
        <v>39</v>
      </c>
      <c r="E145" s="0" t="s">
        <v>19</v>
      </c>
      <c r="F145" s="6">
        <v>10940</v>
      </c>
      <c r="G145" s="0" t="s">
        <v>45</v>
      </c>
      <c r="H145" s="6">
        <v>39399</v>
      </c>
      <c r="I145" s="0" t="s">
        <v>124</v>
      </c>
      <c r="J145" s="0" t="s">
        <v>125</v>
      </c>
      <c r="K145" s="0">
        <v>48</v>
      </c>
      <c r="L145" s="0">
        <v>10</v>
      </c>
      <c r="M145" s="0">
        <v>0</v>
      </c>
      <c r="N145" s="0">
        <v>34.74</v>
      </c>
      <c r="O145" s="0">
        <v>0</v>
      </c>
      <c r="P145" s="0">
        <v>0</v>
      </c>
    </row>
    <row r="146" spans="1:23">
      <c r="A146" s="4">
        <v>6892</v>
      </c>
      <c r="B146" s="0" t="s">
        <v>65</v>
      </c>
      <c r="C146" s="0" t="s">
        <v>115</v>
      </c>
      <c r="D146" s="0" t="s">
        <v>30</v>
      </c>
      <c r="E146" s="0" t="s">
        <v>19</v>
      </c>
      <c r="F146" s="6">
        <v>8486</v>
      </c>
      <c r="G146" s="0" t="s">
        <v>107</v>
      </c>
      <c r="H146" s="6">
        <v>36688</v>
      </c>
      <c r="I146" s="0" t="s">
        <v>108</v>
      </c>
      <c r="J146" s="0" t="s">
        <v>42</v>
      </c>
      <c r="K146" s="0">
        <v>45</v>
      </c>
      <c r="L146" s="0" t="s">
        <v>27</v>
      </c>
      <c r="M146" s="0">
        <v>0</v>
      </c>
      <c r="N146" s="0">
        <v>0</v>
      </c>
      <c r="O146" s="0">
        <v>0</v>
      </c>
      <c r="P146" s="0">
        <v>0</v>
      </c>
    </row>
    <row r="147" spans="1:23">
      <c r="A147" s="4">
        <v>6892</v>
      </c>
      <c r="B147" s="0" t="s">
        <v>65</v>
      </c>
      <c r="C147" s="0" t="s">
        <v>115</v>
      </c>
      <c r="D147" s="0" t="s">
        <v>63</v>
      </c>
      <c r="E147" s="0" t="s">
        <v>19</v>
      </c>
      <c r="F147" s="6">
        <v>16211</v>
      </c>
      <c r="G147" s="0" t="s">
        <v>76</v>
      </c>
      <c r="H147" s="6">
        <v>38645</v>
      </c>
      <c r="I147" s="0" t="s">
        <v>77</v>
      </c>
      <c r="J147" s="0" t="s">
        <v>78</v>
      </c>
      <c r="K147" s="0">
        <v>52</v>
      </c>
      <c r="L147" s="0">
        <v>0</v>
      </c>
      <c r="M147" s="0">
        <v>0</v>
      </c>
      <c r="N147" s="0">
        <v>26.92</v>
      </c>
      <c r="O147" s="0">
        <v>1</v>
      </c>
      <c r="P147" s="0">
        <v>6</v>
      </c>
    </row>
    <row r="148" spans="1:23">
      <c r="A148" s="4">
        <v>6892</v>
      </c>
      <c r="B148" s="0" t="s">
        <v>82</v>
      </c>
      <c r="C148" s="0" t="s">
        <v>115</v>
      </c>
      <c r="D148" s="0" t="s">
        <v>18</v>
      </c>
      <c r="E148" s="0" t="s">
        <v>19</v>
      </c>
      <c r="F148" s="6">
        <v>21432</v>
      </c>
      <c r="G148" s="0" t="s">
        <v>69</v>
      </c>
      <c r="H148" s="6">
        <v>36357</v>
      </c>
      <c r="I148" s="0" t="s">
        <v>70</v>
      </c>
      <c r="J148" s="0" t="s">
        <v>71</v>
      </c>
      <c r="K148" s="0">
        <v>51</v>
      </c>
      <c r="L148" s="0">
        <v>0</v>
      </c>
      <c r="M148" s="0">
        <v>0</v>
      </c>
      <c r="N148" s="0">
        <v>39.81</v>
      </c>
      <c r="O148" s="0">
        <v>1</v>
      </c>
      <c r="P148" s="0">
        <v>6</v>
      </c>
    </row>
    <row r="149" spans="1:23">
      <c r="A149" s="4">
        <v>6892</v>
      </c>
      <c r="B149" s="0" t="s">
        <v>82</v>
      </c>
      <c r="C149" s="0" t="s">
        <v>115</v>
      </c>
      <c r="D149" s="0" t="s">
        <v>23</v>
      </c>
      <c r="E149" s="0" t="s">
        <v>19</v>
      </c>
      <c r="F149" s="6">
        <v>8399</v>
      </c>
      <c r="G149" s="0" t="s">
        <v>88</v>
      </c>
      <c r="H149" s="6">
        <v>20543</v>
      </c>
      <c r="I149" s="0" t="s">
        <v>89</v>
      </c>
      <c r="J149" s="0" t="s">
        <v>87</v>
      </c>
      <c r="K149" s="0">
        <v>54</v>
      </c>
      <c r="L149" s="0">
        <v>5</v>
      </c>
      <c r="M149" s="0">
        <v>0</v>
      </c>
      <c r="N149" s="0">
        <v>65.53</v>
      </c>
      <c r="O149" s="0">
        <v>0</v>
      </c>
      <c r="P149" s="0">
        <v>0</v>
      </c>
    </row>
    <row r="150" spans="1:23">
      <c r="A150" s="4">
        <v>6892</v>
      </c>
      <c r="B150" s="0" t="s">
        <v>82</v>
      </c>
      <c r="C150" s="0" t="s">
        <v>115</v>
      </c>
      <c r="D150" s="0" t="s">
        <v>30</v>
      </c>
      <c r="E150" s="0" t="s">
        <v>19</v>
      </c>
      <c r="F150" s="6">
        <v>1847</v>
      </c>
      <c r="G150" s="0" t="s">
        <v>57</v>
      </c>
      <c r="H150" s="6">
        <v>33522</v>
      </c>
      <c r="I150" s="0" t="s">
        <v>106</v>
      </c>
      <c r="J150" s="0" t="s">
        <v>42</v>
      </c>
      <c r="K150" s="0">
        <v>47</v>
      </c>
      <c r="L150" s="0" t="s">
        <v>27</v>
      </c>
      <c r="M150" s="0">
        <v>0</v>
      </c>
      <c r="N150" s="0">
        <v>0</v>
      </c>
      <c r="O150" s="0">
        <v>0</v>
      </c>
      <c r="P150" s="0">
        <v>0</v>
      </c>
    </row>
    <row r="151" spans="1:23">
      <c r="A151" s="4">
        <v>6892</v>
      </c>
      <c r="B151" s="0" t="s">
        <v>82</v>
      </c>
      <c r="C151" s="0" t="s">
        <v>115</v>
      </c>
      <c r="D151" s="0" t="s">
        <v>34</v>
      </c>
      <c r="E151" s="0" t="s">
        <v>19</v>
      </c>
      <c r="F151" s="6">
        <v>2720</v>
      </c>
      <c r="G151" s="0" t="s">
        <v>52</v>
      </c>
      <c r="H151" s="6">
        <v>32799</v>
      </c>
      <c r="I151" s="0" t="s">
        <v>75</v>
      </c>
      <c r="J151" s="0" t="s">
        <v>42</v>
      </c>
      <c r="K151" s="0">
        <v>50</v>
      </c>
      <c r="L151" s="0" t="s">
        <v>54</v>
      </c>
      <c r="M151" s="0">
        <v>0</v>
      </c>
      <c r="N151" s="0">
        <v>0</v>
      </c>
      <c r="O151" s="0">
        <v>0</v>
      </c>
      <c r="P151" s="0">
        <v>0</v>
      </c>
    </row>
    <row r="152" spans="1:23">
      <c r="A152" s="4">
        <v>6892</v>
      </c>
      <c r="B152" s="0" t="s">
        <v>82</v>
      </c>
      <c r="C152" s="0" t="s">
        <v>115</v>
      </c>
      <c r="D152" s="0" t="s">
        <v>34</v>
      </c>
      <c r="E152" s="0" t="s">
        <v>19</v>
      </c>
      <c r="F152" s="6">
        <v>18011</v>
      </c>
      <c r="G152" s="0" t="s">
        <v>126</v>
      </c>
      <c r="H152" s="6">
        <v>30080</v>
      </c>
      <c r="I152" s="0" t="s">
        <v>127</v>
      </c>
      <c r="J152" s="0" t="s">
        <v>37</v>
      </c>
      <c r="K152" s="0">
        <v>50</v>
      </c>
      <c r="L152" s="0" t="s">
        <v>54</v>
      </c>
      <c r="M152" s="0">
        <v>0</v>
      </c>
      <c r="N152" s="0">
        <v>0</v>
      </c>
      <c r="O152" s="0">
        <v>0</v>
      </c>
      <c r="P152" s="0">
        <v>0</v>
      </c>
    </row>
    <row r="153" spans="1:23">
      <c r="A153" s="4">
        <v>6892</v>
      </c>
      <c r="B153" s="0" t="s">
        <v>82</v>
      </c>
      <c r="C153" s="0" t="s">
        <v>115</v>
      </c>
      <c r="D153" s="0" t="s">
        <v>63</v>
      </c>
      <c r="E153" s="0" t="s">
        <v>19</v>
      </c>
      <c r="F153" s="6">
        <v>6633</v>
      </c>
      <c r="G153" s="0" t="s">
        <v>60</v>
      </c>
      <c r="H153" s="6">
        <v>29135</v>
      </c>
      <c r="I153" s="0" t="s">
        <v>64</v>
      </c>
      <c r="J153" s="0" t="s">
        <v>62</v>
      </c>
      <c r="K153" s="0">
        <v>51</v>
      </c>
      <c r="L153" s="0">
        <v>5</v>
      </c>
      <c r="M153" s="0">
        <v>0</v>
      </c>
      <c r="N153" s="0">
        <v>38.74</v>
      </c>
      <c r="O153" s="0">
        <v>0</v>
      </c>
      <c r="P153" s="0">
        <v>0</v>
      </c>
    </row>
    <row r="154" spans="1:23">
      <c r="A154" s="4">
        <v>6892</v>
      </c>
      <c r="B154" s="0" t="s">
        <v>82</v>
      </c>
      <c r="C154" s="0" t="s">
        <v>115</v>
      </c>
      <c r="D154" s="0" t="s">
        <v>79</v>
      </c>
      <c r="E154" s="0" t="s">
        <v>19</v>
      </c>
      <c r="F154" s="6">
        <v>2720</v>
      </c>
      <c r="G154" s="0" t="s">
        <v>52</v>
      </c>
      <c r="H154" s="6">
        <v>33555</v>
      </c>
      <c r="I154" s="0" t="s">
        <v>80</v>
      </c>
      <c r="J154" s="0" t="s">
        <v>81</v>
      </c>
      <c r="K154" s="0">
        <v>54</v>
      </c>
      <c r="L154" s="0" t="s">
        <v>54</v>
      </c>
      <c r="M154" s="0">
        <v>0</v>
      </c>
      <c r="N154" s="0">
        <v>0</v>
      </c>
      <c r="O154" s="0">
        <v>0</v>
      </c>
      <c r="P154" s="0">
        <v>0</v>
      </c>
    </row>
    <row r="155" spans="1:23">
      <c r="A155" s="4">
        <v>6892</v>
      </c>
      <c r="B155" s="0" t="s">
        <v>16</v>
      </c>
      <c r="C155" s="0" t="s">
        <v>17</v>
      </c>
      <c r="D155" s="0" t="s">
        <v>39</v>
      </c>
      <c r="E155" s="0" t="s">
        <v>128</v>
      </c>
      <c r="F155" s="6">
        <v>21470</v>
      </c>
      <c r="G155" s="0" t="s">
        <v>129</v>
      </c>
      <c r="H155" s="6">
        <v>36436</v>
      </c>
      <c r="I155" s="0" t="s">
        <v>130</v>
      </c>
      <c r="J155" s="0" t="s">
        <v>42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</row>
    <row r="156" spans="1:23">
      <c r="A156" s="4">
        <v>6892</v>
      </c>
      <c r="B156" s="0" t="s">
        <v>16</v>
      </c>
      <c r="C156" s="0" t="s">
        <v>17</v>
      </c>
      <c r="D156" s="0" t="s">
        <v>34</v>
      </c>
      <c r="E156" s="0" t="s">
        <v>128</v>
      </c>
      <c r="F156" s="6">
        <v>20925</v>
      </c>
      <c r="G156" s="0" t="s">
        <v>35</v>
      </c>
      <c r="H156" s="6">
        <v>35435</v>
      </c>
      <c r="I156" s="0" t="s">
        <v>36</v>
      </c>
      <c r="J156" s="0" t="s">
        <v>37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</row>
    <row r="157" spans="1:23">
      <c r="A157" s="4">
        <v>6892</v>
      </c>
      <c r="B157" s="0" t="s">
        <v>38</v>
      </c>
      <c r="C157" s="0" t="s">
        <v>17</v>
      </c>
      <c r="D157" s="0" t="s">
        <v>39</v>
      </c>
      <c r="E157" s="0" t="s">
        <v>128</v>
      </c>
      <c r="F157" s="6">
        <v>3312</v>
      </c>
      <c r="G157" s="0" t="s">
        <v>40</v>
      </c>
      <c r="H157" s="6">
        <v>20111</v>
      </c>
      <c r="I157" s="0" t="s">
        <v>41</v>
      </c>
      <c r="J157" s="0" t="s">
        <v>42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</row>
    <row r="158" spans="1:23">
      <c r="A158" s="4">
        <v>6892</v>
      </c>
      <c r="B158" s="0" t="s">
        <v>38</v>
      </c>
      <c r="C158" s="0" t="s">
        <v>17</v>
      </c>
      <c r="D158" s="0" t="s">
        <v>39</v>
      </c>
      <c r="E158" s="0" t="s">
        <v>128</v>
      </c>
      <c r="F158" s="6">
        <v>7238</v>
      </c>
      <c r="G158" s="0" t="s">
        <v>94</v>
      </c>
      <c r="H158" s="6">
        <v>18907</v>
      </c>
      <c r="I158" s="0" t="s">
        <v>95</v>
      </c>
      <c r="J158" s="0" t="s">
        <v>42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</row>
    <row r="159" spans="1:23">
      <c r="A159" s="4">
        <v>6892</v>
      </c>
      <c r="B159" s="0" t="s">
        <v>38</v>
      </c>
      <c r="C159" s="0" t="s">
        <v>17</v>
      </c>
      <c r="D159" s="0" t="s">
        <v>30</v>
      </c>
      <c r="E159" s="0" t="s">
        <v>128</v>
      </c>
      <c r="F159" s="6">
        <v>10709</v>
      </c>
      <c r="G159" s="0" t="s">
        <v>131</v>
      </c>
      <c r="H159" s="6">
        <v>22107</v>
      </c>
      <c r="I159" s="0" t="s">
        <v>132</v>
      </c>
      <c r="J159" s="0" t="s">
        <v>42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</row>
    <row r="160" spans="1:23">
      <c r="A160" s="4">
        <v>6892</v>
      </c>
      <c r="B160" s="0" t="s">
        <v>38</v>
      </c>
      <c r="C160" s="0" t="s">
        <v>17</v>
      </c>
      <c r="D160" s="0" t="s">
        <v>34</v>
      </c>
      <c r="E160" s="0" t="s">
        <v>128</v>
      </c>
      <c r="F160" s="6">
        <v>2724</v>
      </c>
      <c r="G160" s="0" t="s">
        <v>47</v>
      </c>
      <c r="H160" s="6">
        <v>20545</v>
      </c>
      <c r="I160" s="0" t="s">
        <v>48</v>
      </c>
      <c r="J160" s="0" t="s">
        <v>42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</row>
    <row r="161" spans="1:23">
      <c r="A161" s="4">
        <v>6892</v>
      </c>
      <c r="B161" s="0" t="s">
        <v>38</v>
      </c>
      <c r="C161" s="0" t="s">
        <v>17</v>
      </c>
      <c r="D161" s="0" t="s">
        <v>51</v>
      </c>
      <c r="E161" s="0" t="s">
        <v>128</v>
      </c>
      <c r="F161" s="6">
        <v>2720</v>
      </c>
      <c r="G161" s="0" t="s">
        <v>52</v>
      </c>
      <c r="H161" s="6">
        <v>24040</v>
      </c>
      <c r="I161" s="0" t="s">
        <v>53</v>
      </c>
      <c r="J161" s="0" t="s">
        <v>42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</row>
    <row r="162" spans="1:23">
      <c r="A162" s="4">
        <v>6892</v>
      </c>
      <c r="B162" s="0" t="s">
        <v>38</v>
      </c>
      <c r="C162" s="0" t="s">
        <v>17</v>
      </c>
      <c r="D162" s="0" t="s">
        <v>51</v>
      </c>
      <c r="E162" s="0" t="s">
        <v>128</v>
      </c>
      <c r="F162" s="6">
        <v>3312</v>
      </c>
      <c r="G162" s="0" t="s">
        <v>40</v>
      </c>
      <c r="H162" s="6">
        <v>24750</v>
      </c>
      <c r="I162" s="0" t="s">
        <v>98</v>
      </c>
      <c r="J162" s="0" t="s">
        <v>42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</row>
    <row r="163" spans="1:23">
      <c r="A163" s="4">
        <v>6892</v>
      </c>
      <c r="B163" s="0" t="s">
        <v>38</v>
      </c>
      <c r="C163" s="0" t="s">
        <v>17</v>
      </c>
      <c r="D163" s="0" t="s">
        <v>51</v>
      </c>
      <c r="E163" s="0" t="s">
        <v>128</v>
      </c>
      <c r="F163" s="6">
        <v>10423</v>
      </c>
      <c r="G163" s="0" t="s">
        <v>100</v>
      </c>
      <c r="H163" s="6">
        <v>25420</v>
      </c>
      <c r="I163" s="0" t="s">
        <v>103</v>
      </c>
      <c r="J163" s="0" t="s">
        <v>42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</row>
    <row r="164" spans="1:23">
      <c r="A164" s="4">
        <v>6892</v>
      </c>
      <c r="B164" s="0" t="s">
        <v>38</v>
      </c>
      <c r="C164" s="0" t="s">
        <v>17</v>
      </c>
      <c r="D164" s="0" t="s">
        <v>55</v>
      </c>
      <c r="E164" s="0" t="s">
        <v>128</v>
      </c>
      <c r="F164" s="6">
        <v>2720</v>
      </c>
      <c r="G164" s="0" t="s">
        <v>52</v>
      </c>
      <c r="H164" s="6">
        <v>31304</v>
      </c>
      <c r="I164" s="0" t="s">
        <v>56</v>
      </c>
      <c r="J164" s="0" t="s">
        <v>42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</row>
    <row r="165" spans="1:23">
      <c r="A165" s="4">
        <v>6892</v>
      </c>
      <c r="B165" s="0" t="s">
        <v>38</v>
      </c>
      <c r="C165" s="0" t="s">
        <v>17</v>
      </c>
      <c r="D165" s="0" t="s">
        <v>55</v>
      </c>
      <c r="E165" s="0" t="s">
        <v>128</v>
      </c>
      <c r="F165" s="6">
        <v>1847</v>
      </c>
      <c r="G165" s="0" t="s">
        <v>57</v>
      </c>
      <c r="H165" s="6">
        <v>25013</v>
      </c>
      <c r="I165" s="0" t="s">
        <v>58</v>
      </c>
      <c r="J165" s="0" t="s">
        <v>42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</row>
    <row r="166" spans="1:23">
      <c r="A166" s="4">
        <v>6892</v>
      </c>
      <c r="B166" s="0" t="s">
        <v>38</v>
      </c>
      <c r="C166" s="0" t="s">
        <v>17</v>
      </c>
      <c r="D166" s="0" t="s">
        <v>63</v>
      </c>
      <c r="E166" s="0" t="s">
        <v>128</v>
      </c>
      <c r="F166" s="6">
        <v>15260</v>
      </c>
      <c r="G166" s="0" t="s">
        <v>133</v>
      </c>
      <c r="H166" s="6">
        <v>29542</v>
      </c>
      <c r="I166" s="0" t="s">
        <v>134</v>
      </c>
      <c r="J166" s="0" t="s">
        <v>135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</row>
    <row r="167" spans="1:23">
      <c r="A167" s="4">
        <v>6892</v>
      </c>
      <c r="B167" s="0" t="s">
        <v>65</v>
      </c>
      <c r="C167" s="0" t="s">
        <v>17</v>
      </c>
      <c r="D167" s="0" t="s">
        <v>18</v>
      </c>
      <c r="E167" s="0" t="s">
        <v>128</v>
      </c>
      <c r="F167" s="6">
        <v>21432</v>
      </c>
      <c r="G167" s="0" t="s">
        <v>69</v>
      </c>
      <c r="H167" s="6">
        <v>36357</v>
      </c>
      <c r="I167" s="0" t="s">
        <v>70</v>
      </c>
      <c r="J167" s="0" t="s">
        <v>71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</row>
    <row r="168" spans="1:23">
      <c r="A168" s="4">
        <v>6892</v>
      </c>
      <c r="B168" s="0" t="s">
        <v>65</v>
      </c>
      <c r="C168" s="0" t="s">
        <v>17</v>
      </c>
      <c r="D168" s="0" t="s">
        <v>18</v>
      </c>
      <c r="E168" s="0" t="s">
        <v>128</v>
      </c>
      <c r="F168" s="6">
        <v>22247</v>
      </c>
      <c r="G168" s="0" t="s">
        <v>20</v>
      </c>
      <c r="H168" s="6">
        <v>38009</v>
      </c>
      <c r="I168" s="0" t="s">
        <v>21</v>
      </c>
      <c r="J168" s="0" t="s">
        <v>22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</row>
    <row r="169" spans="1:23">
      <c r="A169" s="4">
        <v>6892</v>
      </c>
      <c r="B169" s="0" t="s">
        <v>65</v>
      </c>
      <c r="C169" s="0" t="s">
        <v>17</v>
      </c>
      <c r="D169" s="0" t="s">
        <v>23</v>
      </c>
      <c r="E169" s="0" t="s">
        <v>128</v>
      </c>
      <c r="F169" s="6">
        <v>19634</v>
      </c>
      <c r="G169" s="0" t="s">
        <v>136</v>
      </c>
      <c r="H169" s="6">
        <v>33102</v>
      </c>
      <c r="I169" s="0" t="s">
        <v>73</v>
      </c>
      <c r="J169" s="0" t="s">
        <v>71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</row>
    <row r="170" spans="1:23">
      <c r="A170" s="4">
        <v>6892</v>
      </c>
      <c r="B170" s="0" t="s">
        <v>65</v>
      </c>
      <c r="C170" s="0" t="s">
        <v>17</v>
      </c>
      <c r="D170" s="0" t="s">
        <v>30</v>
      </c>
      <c r="E170" s="0" t="s">
        <v>128</v>
      </c>
      <c r="F170" s="6">
        <v>11922</v>
      </c>
      <c r="G170" s="0" t="s">
        <v>137</v>
      </c>
      <c r="H170" s="6">
        <v>22323</v>
      </c>
      <c r="I170" s="0" t="s">
        <v>138</v>
      </c>
      <c r="J170" s="0" t="s">
        <v>42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</row>
    <row r="171" spans="1:23">
      <c r="A171" s="4">
        <v>6892</v>
      </c>
      <c r="B171" s="0" t="s">
        <v>65</v>
      </c>
      <c r="C171" s="0" t="s">
        <v>17</v>
      </c>
      <c r="D171" s="0" t="s">
        <v>34</v>
      </c>
      <c r="E171" s="0" t="s">
        <v>128</v>
      </c>
      <c r="F171" s="6">
        <v>2720</v>
      </c>
      <c r="G171" s="0" t="s">
        <v>52</v>
      </c>
      <c r="H171" s="6">
        <v>32799</v>
      </c>
      <c r="I171" s="0" t="s">
        <v>75</v>
      </c>
      <c r="J171" s="0" t="s">
        <v>42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</row>
    <row r="172" spans="1:23">
      <c r="A172" s="4">
        <v>6892</v>
      </c>
      <c r="B172" s="0" t="s">
        <v>65</v>
      </c>
      <c r="C172" s="0" t="s">
        <v>17</v>
      </c>
      <c r="D172" s="0" t="s">
        <v>55</v>
      </c>
      <c r="E172" s="0" t="s">
        <v>128</v>
      </c>
      <c r="F172" s="6">
        <v>4241</v>
      </c>
      <c r="G172" s="0" t="s">
        <v>139</v>
      </c>
      <c r="H172" s="6">
        <v>37742</v>
      </c>
      <c r="I172" s="0" t="s">
        <v>140</v>
      </c>
      <c r="J172" s="0" t="s">
        <v>42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</row>
    <row r="173" spans="1:23">
      <c r="A173" s="4">
        <v>6892</v>
      </c>
      <c r="B173" s="0" t="s">
        <v>65</v>
      </c>
      <c r="C173" s="0" t="s">
        <v>17</v>
      </c>
      <c r="D173" s="0" t="s">
        <v>79</v>
      </c>
      <c r="E173" s="0" t="s">
        <v>128</v>
      </c>
      <c r="F173" s="6">
        <v>2720</v>
      </c>
      <c r="G173" s="0" t="s">
        <v>52</v>
      </c>
      <c r="H173" s="6">
        <v>33555</v>
      </c>
      <c r="I173" s="0" t="s">
        <v>80</v>
      </c>
      <c r="J173" s="0" t="s">
        <v>81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</row>
    <row r="174" spans="1:23">
      <c r="A174" s="4">
        <v>6892</v>
      </c>
      <c r="B174" s="0" t="s">
        <v>82</v>
      </c>
      <c r="C174" s="0" t="s">
        <v>17</v>
      </c>
      <c r="D174" s="0" t="s">
        <v>18</v>
      </c>
      <c r="E174" s="0" t="s">
        <v>128</v>
      </c>
      <c r="F174" s="6">
        <v>8400</v>
      </c>
      <c r="G174" s="0" t="s">
        <v>85</v>
      </c>
      <c r="H174" s="6">
        <v>22845</v>
      </c>
      <c r="I174" s="0" t="s">
        <v>86</v>
      </c>
      <c r="J174" s="0" t="s">
        <v>87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</row>
    <row r="175" spans="1:23">
      <c r="A175" s="4">
        <v>6892</v>
      </c>
      <c r="B175" s="0" t="s">
        <v>82</v>
      </c>
      <c r="C175" s="0" t="s">
        <v>17</v>
      </c>
      <c r="D175" s="0" t="s">
        <v>23</v>
      </c>
      <c r="E175" s="0" t="s">
        <v>128</v>
      </c>
      <c r="F175" s="6">
        <v>8399</v>
      </c>
      <c r="G175" s="0" t="s">
        <v>88</v>
      </c>
      <c r="H175" s="6">
        <v>20543</v>
      </c>
      <c r="I175" s="0" t="s">
        <v>89</v>
      </c>
      <c r="J175" s="0" t="s">
        <v>87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</row>
    <row r="176" spans="1:23">
      <c r="A176" s="4">
        <v>6892</v>
      </c>
      <c r="B176" s="0" t="s">
        <v>82</v>
      </c>
      <c r="C176" s="0" t="s">
        <v>17</v>
      </c>
      <c r="D176" s="0" t="s">
        <v>117</v>
      </c>
      <c r="E176" s="0" t="s">
        <v>128</v>
      </c>
      <c r="F176" s="6">
        <v>8533</v>
      </c>
      <c r="G176" s="0" t="s">
        <v>141</v>
      </c>
      <c r="H176" s="6">
        <v>35636</v>
      </c>
      <c r="I176" s="0" t="s">
        <v>142</v>
      </c>
      <c r="J176" s="0" t="s">
        <v>74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</row>
    <row r="177" spans="1:23">
      <c r="A177" s="4">
        <v>6892</v>
      </c>
      <c r="B177" s="0" t="s">
        <v>82</v>
      </c>
      <c r="C177" s="0" t="s">
        <v>17</v>
      </c>
      <c r="D177" s="0" t="s">
        <v>51</v>
      </c>
      <c r="E177" s="0" t="s">
        <v>128</v>
      </c>
      <c r="F177" s="6">
        <v>16042</v>
      </c>
      <c r="G177" s="0" t="s">
        <v>143</v>
      </c>
      <c r="H177" s="6">
        <v>26609</v>
      </c>
      <c r="I177" s="0" t="s">
        <v>144</v>
      </c>
      <c r="J177" s="0" t="s">
        <v>145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</row>
    <row r="178" spans="1:23">
      <c r="A178" s="4">
        <v>6892</v>
      </c>
      <c r="B178" s="0" t="s">
        <v>82</v>
      </c>
      <c r="C178" s="0" t="s">
        <v>17</v>
      </c>
      <c r="D178" s="0" t="s">
        <v>55</v>
      </c>
      <c r="E178" s="0" t="s">
        <v>128</v>
      </c>
      <c r="F178" s="6">
        <v>12052</v>
      </c>
      <c r="G178" s="0" t="s">
        <v>146</v>
      </c>
      <c r="H178" s="6">
        <v>26483</v>
      </c>
      <c r="I178" s="0" t="s">
        <v>147</v>
      </c>
      <c r="J178" s="0" t="s">
        <v>42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</row>
    <row r="179" spans="1:23">
      <c r="A179" s="4">
        <v>6892</v>
      </c>
      <c r="B179" s="0" t="s">
        <v>82</v>
      </c>
      <c r="C179" s="0" t="s">
        <v>17</v>
      </c>
      <c r="D179" s="0" t="s">
        <v>63</v>
      </c>
      <c r="E179" s="0" t="s">
        <v>128</v>
      </c>
      <c r="F179" s="6">
        <v>16211</v>
      </c>
      <c r="G179" s="0" t="s">
        <v>76</v>
      </c>
      <c r="H179" s="6">
        <v>38645</v>
      </c>
      <c r="I179" s="0" t="s">
        <v>77</v>
      </c>
      <c r="J179" s="0" t="s">
        <v>78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</row>
    <row r="180" spans="1:23">
      <c r="A180" s="4">
        <v>6892</v>
      </c>
      <c r="B180" s="0" t="s">
        <v>16</v>
      </c>
      <c r="C180" s="0" t="s">
        <v>99</v>
      </c>
      <c r="D180" s="0" t="s">
        <v>39</v>
      </c>
      <c r="E180" s="0" t="s">
        <v>128</v>
      </c>
      <c r="F180" s="6">
        <v>21470</v>
      </c>
      <c r="G180" s="0" t="s">
        <v>129</v>
      </c>
      <c r="H180" s="6">
        <v>36436</v>
      </c>
      <c r="I180" s="0" t="s">
        <v>130</v>
      </c>
      <c r="J180" s="0" t="s">
        <v>42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</row>
    <row r="181" spans="1:23">
      <c r="A181" s="4">
        <v>6892</v>
      </c>
      <c r="B181" s="0" t="s">
        <v>16</v>
      </c>
      <c r="C181" s="0" t="s">
        <v>99</v>
      </c>
      <c r="D181" s="0" t="s">
        <v>34</v>
      </c>
      <c r="E181" s="0" t="s">
        <v>128</v>
      </c>
      <c r="F181" s="6">
        <v>20925</v>
      </c>
      <c r="G181" s="0" t="s">
        <v>35</v>
      </c>
      <c r="H181" s="6">
        <v>35435</v>
      </c>
      <c r="I181" s="0" t="s">
        <v>36</v>
      </c>
      <c r="J181" s="0" t="s">
        <v>37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</row>
    <row r="182" spans="1:23">
      <c r="A182" s="4">
        <v>6892</v>
      </c>
      <c r="B182" s="0" t="s">
        <v>38</v>
      </c>
      <c r="C182" s="0" t="s">
        <v>99</v>
      </c>
      <c r="D182" s="0" t="s">
        <v>39</v>
      </c>
      <c r="E182" s="0" t="s">
        <v>128</v>
      </c>
      <c r="F182" s="6">
        <v>7238</v>
      </c>
      <c r="G182" s="0" t="s">
        <v>94</v>
      </c>
      <c r="H182" s="6">
        <v>18907</v>
      </c>
      <c r="I182" s="0" t="s">
        <v>95</v>
      </c>
      <c r="J182" s="0" t="s">
        <v>42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</row>
    <row r="183" spans="1:23">
      <c r="A183" s="4">
        <v>6892</v>
      </c>
      <c r="B183" s="0" t="s">
        <v>38</v>
      </c>
      <c r="C183" s="0" t="s">
        <v>99</v>
      </c>
      <c r="D183" s="0" t="s">
        <v>39</v>
      </c>
      <c r="E183" s="0" t="s">
        <v>128</v>
      </c>
      <c r="F183" s="6">
        <v>3312</v>
      </c>
      <c r="G183" s="0" t="s">
        <v>40</v>
      </c>
      <c r="H183" s="6">
        <v>20111</v>
      </c>
      <c r="I183" s="0" t="s">
        <v>41</v>
      </c>
      <c r="J183" s="0" t="s">
        <v>42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</row>
    <row r="184" spans="1:23">
      <c r="A184" s="4">
        <v>6892</v>
      </c>
      <c r="B184" s="0" t="s">
        <v>38</v>
      </c>
      <c r="C184" s="0" t="s">
        <v>99</v>
      </c>
      <c r="D184" s="0" t="s">
        <v>30</v>
      </c>
      <c r="E184" s="0" t="s">
        <v>128</v>
      </c>
      <c r="F184" s="6">
        <v>2755</v>
      </c>
      <c r="G184" s="0" t="s">
        <v>43</v>
      </c>
      <c r="H184" s="6">
        <v>26782</v>
      </c>
      <c r="I184" s="0" t="s">
        <v>44</v>
      </c>
      <c r="J184" s="0" t="s">
        <v>42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</row>
    <row r="185" spans="1:23">
      <c r="A185" s="4">
        <v>6892</v>
      </c>
      <c r="B185" s="0" t="s">
        <v>38</v>
      </c>
      <c r="C185" s="0" t="s">
        <v>99</v>
      </c>
      <c r="D185" s="0" t="s">
        <v>30</v>
      </c>
      <c r="E185" s="0" t="s">
        <v>128</v>
      </c>
      <c r="F185" s="6">
        <v>8486</v>
      </c>
      <c r="G185" s="0" t="s">
        <v>107</v>
      </c>
      <c r="H185" s="6">
        <v>25395</v>
      </c>
      <c r="I185" s="0" t="s">
        <v>113</v>
      </c>
      <c r="J185" s="0" t="s">
        <v>42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</row>
    <row r="186" spans="1:23">
      <c r="A186" s="4">
        <v>6892</v>
      </c>
      <c r="B186" s="0" t="s">
        <v>38</v>
      </c>
      <c r="C186" s="0" t="s">
        <v>99</v>
      </c>
      <c r="D186" s="0" t="s">
        <v>30</v>
      </c>
      <c r="E186" s="0" t="s">
        <v>128</v>
      </c>
      <c r="F186" s="6">
        <v>10709</v>
      </c>
      <c r="G186" s="0" t="s">
        <v>131</v>
      </c>
      <c r="H186" s="6">
        <v>22107</v>
      </c>
      <c r="I186" s="0" t="s">
        <v>132</v>
      </c>
      <c r="J186" s="0" t="s">
        <v>42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</row>
    <row r="187" spans="1:23">
      <c r="A187" s="4">
        <v>6892</v>
      </c>
      <c r="B187" s="0" t="s">
        <v>38</v>
      </c>
      <c r="C187" s="0" t="s">
        <v>99</v>
      </c>
      <c r="D187" s="0" t="s">
        <v>34</v>
      </c>
      <c r="E187" s="0" t="s">
        <v>128</v>
      </c>
      <c r="F187" s="6">
        <v>2724</v>
      </c>
      <c r="G187" s="0" t="s">
        <v>47</v>
      </c>
      <c r="H187" s="6">
        <v>20545</v>
      </c>
      <c r="I187" s="0" t="s">
        <v>48</v>
      </c>
      <c r="J187" s="0" t="s">
        <v>42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</row>
    <row r="188" spans="1:23">
      <c r="A188" s="4">
        <v>6892</v>
      </c>
      <c r="B188" s="0" t="s">
        <v>38</v>
      </c>
      <c r="C188" s="0" t="s">
        <v>99</v>
      </c>
      <c r="D188" s="0" t="s">
        <v>51</v>
      </c>
      <c r="E188" s="0" t="s">
        <v>128</v>
      </c>
      <c r="F188" s="6">
        <v>2720</v>
      </c>
      <c r="G188" s="0" t="s">
        <v>52</v>
      </c>
      <c r="H188" s="6">
        <v>24040</v>
      </c>
      <c r="I188" s="0" t="s">
        <v>53</v>
      </c>
      <c r="J188" s="0" t="s">
        <v>42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</row>
    <row r="189" spans="1:23">
      <c r="A189" s="4">
        <v>6892</v>
      </c>
      <c r="B189" s="0" t="s">
        <v>38</v>
      </c>
      <c r="C189" s="0" t="s">
        <v>99</v>
      </c>
      <c r="D189" s="0" t="s">
        <v>51</v>
      </c>
      <c r="E189" s="0" t="s">
        <v>128</v>
      </c>
      <c r="F189" s="6">
        <v>3312</v>
      </c>
      <c r="G189" s="0" t="s">
        <v>40</v>
      </c>
      <c r="H189" s="6">
        <v>24750</v>
      </c>
      <c r="I189" s="0" t="s">
        <v>98</v>
      </c>
      <c r="J189" s="0" t="s">
        <v>42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</row>
    <row r="190" spans="1:23">
      <c r="A190" s="4">
        <v>6892</v>
      </c>
      <c r="B190" s="0" t="s">
        <v>38</v>
      </c>
      <c r="C190" s="0" t="s">
        <v>99</v>
      </c>
      <c r="D190" s="0" t="s">
        <v>55</v>
      </c>
      <c r="E190" s="0" t="s">
        <v>128</v>
      </c>
      <c r="F190" s="6">
        <v>2720</v>
      </c>
      <c r="G190" s="0" t="s">
        <v>52</v>
      </c>
      <c r="H190" s="6">
        <v>31304</v>
      </c>
      <c r="I190" s="0" t="s">
        <v>56</v>
      </c>
      <c r="J190" s="0" t="s">
        <v>42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</row>
    <row r="191" spans="1:23">
      <c r="A191" s="4">
        <v>6892</v>
      </c>
      <c r="B191" s="0" t="s">
        <v>65</v>
      </c>
      <c r="C191" s="0" t="s">
        <v>99</v>
      </c>
      <c r="D191" s="0" t="s">
        <v>18</v>
      </c>
      <c r="E191" s="0" t="s">
        <v>128</v>
      </c>
      <c r="F191" s="6">
        <v>21432</v>
      </c>
      <c r="G191" s="0" t="s">
        <v>69</v>
      </c>
      <c r="H191" s="6">
        <v>36357</v>
      </c>
      <c r="I191" s="0" t="s">
        <v>70</v>
      </c>
      <c r="J191" s="0" t="s">
        <v>71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</row>
    <row r="192" spans="1:23">
      <c r="A192" s="4">
        <v>6892</v>
      </c>
      <c r="B192" s="0" t="s">
        <v>65</v>
      </c>
      <c r="C192" s="0" t="s">
        <v>99</v>
      </c>
      <c r="D192" s="0" t="s">
        <v>18</v>
      </c>
      <c r="E192" s="0" t="s">
        <v>128</v>
      </c>
      <c r="F192" s="6">
        <v>21019</v>
      </c>
      <c r="G192" s="0" t="s">
        <v>148</v>
      </c>
      <c r="H192" s="6">
        <v>35594</v>
      </c>
      <c r="I192" s="0" t="s">
        <v>149</v>
      </c>
      <c r="J192" s="0" t="s">
        <v>87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</row>
    <row r="193" spans="1:23">
      <c r="A193" s="4">
        <v>6892</v>
      </c>
      <c r="B193" s="0" t="s">
        <v>65</v>
      </c>
      <c r="C193" s="0" t="s">
        <v>99</v>
      </c>
      <c r="D193" s="0" t="s">
        <v>18</v>
      </c>
      <c r="E193" s="0" t="s">
        <v>128</v>
      </c>
      <c r="F193" s="6">
        <v>11922</v>
      </c>
      <c r="G193" s="0" t="s">
        <v>137</v>
      </c>
      <c r="H193" s="6">
        <v>32459</v>
      </c>
      <c r="I193" s="0" t="s">
        <v>150</v>
      </c>
      <c r="J193" s="0" t="s">
        <v>22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</row>
    <row r="194" spans="1:23">
      <c r="A194" s="4">
        <v>6892</v>
      </c>
      <c r="B194" s="0" t="s">
        <v>65</v>
      </c>
      <c r="C194" s="0" t="s">
        <v>99</v>
      </c>
      <c r="D194" s="0" t="s">
        <v>18</v>
      </c>
      <c r="E194" s="0" t="s">
        <v>128</v>
      </c>
      <c r="F194" s="6">
        <v>22247</v>
      </c>
      <c r="G194" s="0" t="s">
        <v>20</v>
      </c>
      <c r="H194" s="6">
        <v>38009</v>
      </c>
      <c r="I194" s="0" t="s">
        <v>21</v>
      </c>
      <c r="J194" s="0" t="s">
        <v>22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</row>
    <row r="195" spans="1:23">
      <c r="A195" s="4">
        <v>6892</v>
      </c>
      <c r="B195" s="0" t="s">
        <v>65</v>
      </c>
      <c r="C195" s="0" t="s">
        <v>99</v>
      </c>
      <c r="D195" s="0" t="s">
        <v>23</v>
      </c>
      <c r="E195" s="0" t="s">
        <v>128</v>
      </c>
      <c r="F195" s="6">
        <v>19634</v>
      </c>
      <c r="G195" s="0" t="s">
        <v>136</v>
      </c>
      <c r="H195" s="6">
        <v>33102</v>
      </c>
      <c r="I195" s="0" t="s">
        <v>73</v>
      </c>
      <c r="J195" s="0" t="s">
        <v>71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</row>
    <row r="196" spans="1:23">
      <c r="A196" s="4">
        <v>6892</v>
      </c>
      <c r="B196" s="0" t="s">
        <v>65</v>
      </c>
      <c r="C196" s="0" t="s">
        <v>99</v>
      </c>
      <c r="D196" s="0" t="s">
        <v>30</v>
      </c>
      <c r="E196" s="0" t="s">
        <v>128</v>
      </c>
      <c r="F196" s="6">
        <v>8486</v>
      </c>
      <c r="G196" s="0" t="s">
        <v>107</v>
      </c>
      <c r="H196" s="6">
        <v>36688</v>
      </c>
      <c r="I196" s="0" t="s">
        <v>108</v>
      </c>
      <c r="J196" s="0" t="s">
        <v>42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</row>
    <row r="197" spans="1:23">
      <c r="A197" s="4">
        <v>6892</v>
      </c>
      <c r="B197" s="0" t="s">
        <v>65</v>
      </c>
      <c r="C197" s="0" t="s">
        <v>99</v>
      </c>
      <c r="D197" s="0" t="s">
        <v>30</v>
      </c>
      <c r="E197" s="0" t="s">
        <v>128</v>
      </c>
      <c r="F197" s="6">
        <v>7238</v>
      </c>
      <c r="G197" s="0" t="s">
        <v>94</v>
      </c>
      <c r="H197" s="6">
        <v>37104</v>
      </c>
      <c r="I197" s="0" t="s">
        <v>104</v>
      </c>
      <c r="J197" s="0" t="s">
        <v>42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</row>
    <row r="198" spans="1:23">
      <c r="A198" s="4">
        <v>6892</v>
      </c>
      <c r="B198" s="0" t="s">
        <v>65</v>
      </c>
      <c r="C198" s="0" t="s">
        <v>99</v>
      </c>
      <c r="D198" s="0" t="s">
        <v>30</v>
      </c>
      <c r="E198" s="0" t="s">
        <v>128</v>
      </c>
      <c r="F198" s="6">
        <v>7238</v>
      </c>
      <c r="G198" s="0" t="s">
        <v>94</v>
      </c>
      <c r="H198" s="6">
        <v>32353</v>
      </c>
      <c r="I198" s="0" t="s">
        <v>96</v>
      </c>
      <c r="J198" s="0" t="s">
        <v>42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</row>
    <row r="199" spans="1:23">
      <c r="A199" s="4">
        <v>6892</v>
      </c>
      <c r="B199" s="0" t="s">
        <v>65</v>
      </c>
      <c r="C199" s="0" t="s">
        <v>99</v>
      </c>
      <c r="D199" s="0" t="s">
        <v>34</v>
      </c>
      <c r="E199" s="0" t="s">
        <v>128</v>
      </c>
      <c r="F199" s="6">
        <v>2720</v>
      </c>
      <c r="G199" s="0" t="s">
        <v>52</v>
      </c>
      <c r="H199" s="6">
        <v>32799</v>
      </c>
      <c r="I199" s="0" t="s">
        <v>75</v>
      </c>
      <c r="J199" s="0" t="s">
        <v>42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</row>
    <row r="200" spans="1:23">
      <c r="A200" s="4">
        <v>6892</v>
      </c>
      <c r="B200" s="0" t="s">
        <v>65</v>
      </c>
      <c r="C200" s="0" t="s">
        <v>99</v>
      </c>
      <c r="D200" s="0" t="s">
        <v>55</v>
      </c>
      <c r="E200" s="0" t="s">
        <v>128</v>
      </c>
      <c r="F200" s="6">
        <v>4241</v>
      </c>
      <c r="G200" s="0" t="s">
        <v>139</v>
      </c>
      <c r="H200" s="6">
        <v>37742</v>
      </c>
      <c r="I200" s="0" t="s">
        <v>140</v>
      </c>
      <c r="J200" s="0" t="s">
        <v>42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</row>
    <row r="201" spans="1:23">
      <c r="A201" s="4">
        <v>6892</v>
      </c>
      <c r="B201" s="0" t="s">
        <v>65</v>
      </c>
      <c r="C201" s="0" t="s">
        <v>99</v>
      </c>
      <c r="D201" s="0" t="s">
        <v>59</v>
      </c>
      <c r="E201" s="0" t="s">
        <v>128</v>
      </c>
      <c r="F201" s="6">
        <v>19403</v>
      </c>
      <c r="G201" s="0" t="s">
        <v>151</v>
      </c>
      <c r="H201" s="6">
        <v>32702</v>
      </c>
      <c r="I201" s="0" t="s">
        <v>152</v>
      </c>
      <c r="J201" s="0" t="s">
        <v>153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</row>
    <row r="202" spans="1:23">
      <c r="A202" s="4">
        <v>6892</v>
      </c>
      <c r="B202" s="0" t="s">
        <v>65</v>
      </c>
      <c r="C202" s="0" t="s">
        <v>99</v>
      </c>
      <c r="D202" s="0" t="s">
        <v>79</v>
      </c>
      <c r="E202" s="0" t="s">
        <v>128</v>
      </c>
      <c r="F202" s="6">
        <v>2720</v>
      </c>
      <c r="G202" s="0" t="s">
        <v>52</v>
      </c>
      <c r="H202" s="6">
        <v>33555</v>
      </c>
      <c r="I202" s="0" t="s">
        <v>80</v>
      </c>
      <c r="J202" s="0" t="s">
        <v>81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</row>
    <row r="203" spans="1:23">
      <c r="A203" s="4">
        <v>6892</v>
      </c>
      <c r="B203" s="0" t="s">
        <v>82</v>
      </c>
      <c r="C203" s="0" t="s">
        <v>99</v>
      </c>
      <c r="D203" s="0" t="s">
        <v>23</v>
      </c>
      <c r="E203" s="0" t="s">
        <v>128</v>
      </c>
      <c r="F203" s="6">
        <v>8399</v>
      </c>
      <c r="G203" s="0" t="s">
        <v>88</v>
      </c>
      <c r="H203" s="6">
        <v>20543</v>
      </c>
      <c r="I203" s="0" t="s">
        <v>89</v>
      </c>
      <c r="J203" s="0" t="s">
        <v>87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</row>
    <row r="204" spans="1:23">
      <c r="A204" s="4">
        <v>6892</v>
      </c>
      <c r="B204" s="0" t="s">
        <v>82</v>
      </c>
      <c r="C204" s="0" t="s">
        <v>99</v>
      </c>
      <c r="D204" s="0" t="s">
        <v>117</v>
      </c>
      <c r="E204" s="0" t="s">
        <v>128</v>
      </c>
      <c r="F204" s="6">
        <v>8533</v>
      </c>
      <c r="G204" s="0" t="s">
        <v>141</v>
      </c>
      <c r="H204" s="6">
        <v>35636</v>
      </c>
      <c r="I204" s="0" t="s">
        <v>142</v>
      </c>
      <c r="J204" s="0" t="s">
        <v>74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</row>
    <row r="205" spans="1:23">
      <c r="A205" s="4">
        <v>6892</v>
      </c>
      <c r="B205" s="0" t="s">
        <v>82</v>
      </c>
      <c r="C205" s="0" t="s">
        <v>99</v>
      </c>
      <c r="D205" s="0" t="s">
        <v>51</v>
      </c>
      <c r="E205" s="0" t="s">
        <v>128</v>
      </c>
      <c r="F205" s="6">
        <v>16042</v>
      </c>
      <c r="G205" s="0" t="s">
        <v>143</v>
      </c>
      <c r="H205" s="6">
        <v>26609</v>
      </c>
      <c r="I205" s="0" t="s">
        <v>144</v>
      </c>
      <c r="J205" s="0" t="s">
        <v>145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</row>
    <row r="206" spans="1:23">
      <c r="A206" s="4">
        <v>6892</v>
      </c>
      <c r="B206" s="0" t="s">
        <v>82</v>
      </c>
      <c r="C206" s="0" t="s">
        <v>99</v>
      </c>
      <c r="D206" s="0" t="s">
        <v>55</v>
      </c>
      <c r="E206" s="0" t="s">
        <v>128</v>
      </c>
      <c r="F206" s="6">
        <v>12052</v>
      </c>
      <c r="G206" s="0" t="s">
        <v>146</v>
      </c>
      <c r="H206" s="6">
        <v>26483</v>
      </c>
      <c r="I206" s="0" t="s">
        <v>147</v>
      </c>
      <c r="J206" s="0" t="s">
        <v>42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</row>
    <row r="207" spans="1:23">
      <c r="A207" s="4">
        <v>6892</v>
      </c>
      <c r="B207" s="0" t="s">
        <v>82</v>
      </c>
      <c r="C207" s="0" t="s">
        <v>99</v>
      </c>
      <c r="D207" s="0" t="s">
        <v>63</v>
      </c>
      <c r="E207" s="0" t="s">
        <v>128</v>
      </c>
      <c r="F207" s="6">
        <v>16211</v>
      </c>
      <c r="G207" s="0" t="s">
        <v>76</v>
      </c>
      <c r="H207" s="6">
        <v>38645</v>
      </c>
      <c r="I207" s="0" t="s">
        <v>77</v>
      </c>
      <c r="J207" s="0" t="s">
        <v>78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</row>
    <row r="208" spans="1:23">
      <c r="A208" s="4">
        <v>6892</v>
      </c>
      <c r="B208" s="0" t="s">
        <v>65</v>
      </c>
      <c r="C208" s="0" t="s">
        <v>154</v>
      </c>
      <c r="D208" s="0" t="s">
        <v>18</v>
      </c>
      <c r="E208" s="0" t="s">
        <v>128</v>
      </c>
      <c r="F208" s="6">
        <v>11922</v>
      </c>
      <c r="G208" s="0" t="s">
        <v>137</v>
      </c>
      <c r="H208" s="6">
        <v>32459</v>
      </c>
      <c r="I208" s="0" t="s">
        <v>150</v>
      </c>
      <c r="J208" s="0" t="s">
        <v>22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</row>
    <row r="209" spans="1:23">
      <c r="A209" s="4">
        <v>6892</v>
      </c>
      <c r="B209" s="0" t="s">
        <v>65</v>
      </c>
      <c r="C209" s="0" t="s">
        <v>154</v>
      </c>
      <c r="D209" s="0" t="s">
        <v>18</v>
      </c>
      <c r="E209" s="0" t="s">
        <v>128</v>
      </c>
      <c r="F209" s="6">
        <v>21432</v>
      </c>
      <c r="G209" s="0" t="s">
        <v>69</v>
      </c>
      <c r="H209" s="6">
        <v>36357</v>
      </c>
      <c r="I209" s="0" t="s">
        <v>70</v>
      </c>
      <c r="J209" s="0" t="s">
        <v>71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</row>
    <row r="210" spans="1:23">
      <c r="A210" s="4">
        <v>6892</v>
      </c>
      <c r="B210" s="0" t="s">
        <v>82</v>
      </c>
      <c r="C210" s="0" t="s">
        <v>154</v>
      </c>
      <c r="D210" s="0" t="s">
        <v>18</v>
      </c>
      <c r="E210" s="0" t="s">
        <v>128</v>
      </c>
      <c r="F210" s="6">
        <v>8400</v>
      </c>
      <c r="G210" s="0" t="s">
        <v>85</v>
      </c>
      <c r="H210" s="6">
        <v>22845</v>
      </c>
      <c r="I210" s="0" t="s">
        <v>86</v>
      </c>
      <c r="J210" s="0" t="s">
        <v>87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</row>
    <row r="211" spans="1:23">
      <c r="A211" s="4">
        <v>6892</v>
      </c>
      <c r="B211" s="0" t="s">
        <v>65</v>
      </c>
      <c r="C211" s="0" t="s">
        <v>154</v>
      </c>
      <c r="D211" s="0" t="s">
        <v>18</v>
      </c>
      <c r="E211" s="0" t="s">
        <v>128</v>
      </c>
      <c r="F211" s="6">
        <v>21019</v>
      </c>
      <c r="G211" s="0" t="s">
        <v>148</v>
      </c>
      <c r="H211" s="6">
        <v>35594</v>
      </c>
      <c r="I211" s="0" t="s">
        <v>149</v>
      </c>
      <c r="J211" s="0" t="s">
        <v>87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</row>
    <row r="212" spans="1:23">
      <c r="A212" s="4">
        <v>6892</v>
      </c>
      <c r="B212" s="0" t="s">
        <v>38</v>
      </c>
      <c r="C212" s="0" t="s">
        <v>154</v>
      </c>
      <c r="D212" s="0" t="s">
        <v>23</v>
      </c>
      <c r="E212" s="0" t="s">
        <v>128</v>
      </c>
      <c r="F212" s="6">
        <v>10423</v>
      </c>
      <c r="G212" s="0" t="s">
        <v>100</v>
      </c>
      <c r="H212" s="6">
        <v>20982</v>
      </c>
      <c r="I212" s="0" t="s">
        <v>101</v>
      </c>
      <c r="J212" s="0" t="s">
        <v>102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</row>
    <row r="213" spans="1:23">
      <c r="A213" s="4">
        <v>6892</v>
      </c>
      <c r="B213" s="0" t="s">
        <v>38</v>
      </c>
      <c r="C213" s="0" t="s">
        <v>154</v>
      </c>
      <c r="D213" s="0" t="s">
        <v>117</v>
      </c>
      <c r="E213" s="0" t="s">
        <v>128</v>
      </c>
      <c r="F213" s="6">
        <v>8659</v>
      </c>
      <c r="G213" s="0" t="s">
        <v>155</v>
      </c>
      <c r="H213" s="6">
        <v>32403</v>
      </c>
      <c r="I213" s="0" t="s">
        <v>156</v>
      </c>
      <c r="J213" s="0" t="s">
        <v>157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</row>
    <row r="214" spans="1:23">
      <c r="A214" s="4">
        <v>6892</v>
      </c>
      <c r="B214" s="0" t="s">
        <v>82</v>
      </c>
      <c r="C214" s="0" t="s">
        <v>154</v>
      </c>
      <c r="D214" s="0" t="s">
        <v>117</v>
      </c>
      <c r="E214" s="0" t="s">
        <v>128</v>
      </c>
      <c r="F214" s="6">
        <v>8533</v>
      </c>
      <c r="G214" s="0" t="s">
        <v>141</v>
      </c>
      <c r="H214" s="6">
        <v>35636</v>
      </c>
      <c r="I214" s="0" t="s">
        <v>142</v>
      </c>
      <c r="J214" s="0" t="s">
        <v>74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</row>
    <row r="215" spans="1:23">
      <c r="A215" s="4">
        <v>6892</v>
      </c>
      <c r="B215" s="0" t="s">
        <v>65</v>
      </c>
      <c r="C215" s="0" t="s">
        <v>154</v>
      </c>
      <c r="D215" s="0" t="s">
        <v>30</v>
      </c>
      <c r="E215" s="0" t="s">
        <v>128</v>
      </c>
      <c r="F215" s="6">
        <v>7238</v>
      </c>
      <c r="G215" s="0" t="s">
        <v>94</v>
      </c>
      <c r="H215" s="6">
        <v>32353</v>
      </c>
      <c r="I215" s="0" t="s">
        <v>96</v>
      </c>
      <c r="J215" s="0" t="s">
        <v>42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</row>
    <row r="216" spans="1:23">
      <c r="A216" s="4">
        <v>6892</v>
      </c>
      <c r="B216" s="0" t="s">
        <v>65</v>
      </c>
      <c r="C216" s="0" t="s">
        <v>154</v>
      </c>
      <c r="D216" s="0" t="s">
        <v>30</v>
      </c>
      <c r="E216" s="0" t="s">
        <v>128</v>
      </c>
      <c r="F216" s="6">
        <v>1847</v>
      </c>
      <c r="G216" s="0" t="s">
        <v>57</v>
      </c>
      <c r="H216" s="6">
        <v>33522</v>
      </c>
      <c r="I216" s="0" t="s">
        <v>106</v>
      </c>
      <c r="J216" s="0" t="s">
        <v>42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</row>
    <row r="217" spans="1:23">
      <c r="A217" s="4">
        <v>6892</v>
      </c>
      <c r="B217" s="0" t="s">
        <v>38</v>
      </c>
      <c r="C217" s="0" t="s">
        <v>154</v>
      </c>
      <c r="D217" s="0" t="s">
        <v>30</v>
      </c>
      <c r="E217" s="0" t="s">
        <v>128</v>
      </c>
      <c r="F217" s="6">
        <v>10940</v>
      </c>
      <c r="G217" s="0" t="s">
        <v>45</v>
      </c>
      <c r="H217" s="6">
        <v>24142</v>
      </c>
      <c r="I217" s="0" t="s">
        <v>46</v>
      </c>
      <c r="J217" s="0" t="s">
        <v>42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</row>
    <row r="218" spans="1:23">
      <c r="A218" s="4">
        <v>6892</v>
      </c>
      <c r="B218" s="0" t="s">
        <v>82</v>
      </c>
      <c r="C218" s="0" t="s">
        <v>154</v>
      </c>
      <c r="D218" s="0" t="s">
        <v>30</v>
      </c>
      <c r="E218" s="0" t="s">
        <v>128</v>
      </c>
      <c r="F218" s="6">
        <v>1847</v>
      </c>
      <c r="G218" s="0" t="s">
        <v>57</v>
      </c>
      <c r="H218" s="6">
        <v>29457</v>
      </c>
      <c r="I218" s="0" t="s">
        <v>90</v>
      </c>
      <c r="J218" s="0" t="s">
        <v>42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</row>
    <row r="219" spans="1:23">
      <c r="A219" s="4">
        <v>6892</v>
      </c>
      <c r="B219" s="0" t="s">
        <v>38</v>
      </c>
      <c r="C219" s="0" t="s">
        <v>154</v>
      </c>
      <c r="D219" s="0" t="s">
        <v>30</v>
      </c>
      <c r="E219" s="0" t="s">
        <v>128</v>
      </c>
      <c r="F219" s="6">
        <v>10709</v>
      </c>
      <c r="G219" s="0" t="s">
        <v>131</v>
      </c>
      <c r="H219" s="6">
        <v>22107</v>
      </c>
      <c r="I219" s="0" t="s">
        <v>132</v>
      </c>
      <c r="J219" s="0" t="s">
        <v>42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</row>
    <row r="220" spans="1:23">
      <c r="A220" s="4">
        <v>6892</v>
      </c>
      <c r="B220" s="0" t="s">
        <v>65</v>
      </c>
      <c r="C220" s="0" t="s">
        <v>154</v>
      </c>
      <c r="D220" s="0" t="s">
        <v>34</v>
      </c>
      <c r="E220" s="0" t="s">
        <v>128</v>
      </c>
      <c r="F220" s="6">
        <v>2720</v>
      </c>
      <c r="G220" s="0" t="s">
        <v>52</v>
      </c>
      <c r="H220" s="6">
        <v>32799</v>
      </c>
      <c r="I220" s="0" t="s">
        <v>75</v>
      </c>
      <c r="J220" s="0" t="s">
        <v>42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</row>
    <row r="221" spans="1:23">
      <c r="A221" s="4">
        <v>6892</v>
      </c>
      <c r="B221" s="0" t="s">
        <v>38</v>
      </c>
      <c r="C221" s="0" t="s">
        <v>154</v>
      </c>
      <c r="D221" s="0" t="s">
        <v>34</v>
      </c>
      <c r="E221" s="0" t="s">
        <v>128</v>
      </c>
      <c r="F221" s="6">
        <v>2724</v>
      </c>
      <c r="G221" s="0" t="s">
        <v>47</v>
      </c>
      <c r="H221" s="6">
        <v>20545</v>
      </c>
      <c r="I221" s="0" t="s">
        <v>48</v>
      </c>
      <c r="J221" s="0" t="s">
        <v>42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</row>
    <row r="222" spans="1:23">
      <c r="A222" s="4">
        <v>6892</v>
      </c>
      <c r="B222" s="0" t="s">
        <v>38</v>
      </c>
      <c r="C222" s="0" t="s">
        <v>154</v>
      </c>
      <c r="D222" s="0" t="s">
        <v>51</v>
      </c>
      <c r="E222" s="0" t="s">
        <v>128</v>
      </c>
      <c r="F222" s="6">
        <v>3312</v>
      </c>
      <c r="G222" s="0" t="s">
        <v>40</v>
      </c>
      <c r="H222" s="6">
        <v>24750</v>
      </c>
      <c r="I222" s="0" t="s">
        <v>98</v>
      </c>
      <c r="J222" s="0" t="s">
        <v>42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</row>
    <row r="223" spans="1:23">
      <c r="A223" s="4">
        <v>6892</v>
      </c>
      <c r="B223" s="0" t="s">
        <v>38</v>
      </c>
      <c r="C223" s="0" t="s">
        <v>154</v>
      </c>
      <c r="D223" s="0" t="s">
        <v>51</v>
      </c>
      <c r="E223" s="0" t="s">
        <v>128</v>
      </c>
      <c r="F223" s="6">
        <v>10423</v>
      </c>
      <c r="G223" s="0" t="s">
        <v>100</v>
      </c>
      <c r="H223" s="6">
        <v>25420</v>
      </c>
      <c r="I223" s="0" t="s">
        <v>103</v>
      </c>
      <c r="J223" s="0" t="s">
        <v>42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</row>
    <row r="224" spans="1:23">
      <c r="A224" s="4">
        <v>6892</v>
      </c>
      <c r="B224" s="0" t="s">
        <v>82</v>
      </c>
      <c r="C224" s="0" t="s">
        <v>154</v>
      </c>
      <c r="D224" s="0" t="s">
        <v>51</v>
      </c>
      <c r="E224" s="0" t="s">
        <v>128</v>
      </c>
      <c r="F224" s="6">
        <v>16042</v>
      </c>
      <c r="G224" s="0" t="s">
        <v>143</v>
      </c>
      <c r="H224" s="6">
        <v>26609</v>
      </c>
      <c r="I224" s="0" t="s">
        <v>144</v>
      </c>
      <c r="J224" s="0" t="s">
        <v>145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</row>
    <row r="225" spans="1:23">
      <c r="A225" s="4">
        <v>6892</v>
      </c>
      <c r="B225" s="0" t="s">
        <v>65</v>
      </c>
      <c r="C225" s="0" t="s">
        <v>154</v>
      </c>
      <c r="D225" s="0" t="s">
        <v>55</v>
      </c>
      <c r="E225" s="0" t="s">
        <v>128</v>
      </c>
      <c r="F225" s="6">
        <v>4241</v>
      </c>
      <c r="G225" s="0" t="s">
        <v>139</v>
      </c>
      <c r="H225" s="6">
        <v>37742</v>
      </c>
      <c r="I225" s="0" t="s">
        <v>140</v>
      </c>
      <c r="J225" s="0" t="s">
        <v>42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</row>
    <row r="226" spans="1:23">
      <c r="A226" s="4">
        <v>6892</v>
      </c>
      <c r="B226" s="0" t="s">
        <v>38</v>
      </c>
      <c r="C226" s="0" t="s">
        <v>154</v>
      </c>
      <c r="D226" s="0" t="s">
        <v>55</v>
      </c>
      <c r="E226" s="0" t="s">
        <v>128</v>
      </c>
      <c r="F226" s="6">
        <v>1847</v>
      </c>
      <c r="G226" s="0" t="s">
        <v>57</v>
      </c>
      <c r="H226" s="6">
        <v>25013</v>
      </c>
      <c r="I226" s="0" t="s">
        <v>58</v>
      </c>
      <c r="J226" s="0" t="s">
        <v>42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</row>
    <row r="227" spans="1:23">
      <c r="A227" s="4">
        <v>6892</v>
      </c>
      <c r="B227" s="0" t="s">
        <v>65</v>
      </c>
      <c r="C227" s="0" t="s">
        <v>154</v>
      </c>
      <c r="D227" s="0" t="s">
        <v>59</v>
      </c>
      <c r="E227" s="0" t="s">
        <v>128</v>
      </c>
      <c r="F227" s="6">
        <v>19403</v>
      </c>
      <c r="G227" s="0" t="s">
        <v>151</v>
      </c>
      <c r="H227" s="6">
        <v>32702</v>
      </c>
      <c r="I227" s="0" t="s">
        <v>152</v>
      </c>
      <c r="J227" s="0" t="s">
        <v>153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</row>
    <row r="228" spans="1:23">
      <c r="A228" s="4">
        <v>6892</v>
      </c>
      <c r="B228" s="0" t="s">
        <v>65</v>
      </c>
      <c r="C228" s="0" t="s">
        <v>154</v>
      </c>
      <c r="D228" s="0" t="s">
        <v>63</v>
      </c>
      <c r="E228" s="0" t="s">
        <v>128</v>
      </c>
      <c r="F228" s="6">
        <v>16211</v>
      </c>
      <c r="G228" s="0" t="s">
        <v>76</v>
      </c>
      <c r="H228" s="6">
        <v>38645</v>
      </c>
      <c r="I228" s="0" t="s">
        <v>77</v>
      </c>
      <c r="J228" s="0" t="s">
        <v>78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</row>
    <row r="229" spans="1:23">
      <c r="A229" s="4">
        <v>6892</v>
      </c>
      <c r="B229" s="0" t="s">
        <v>38</v>
      </c>
      <c r="C229" s="0" t="s">
        <v>154</v>
      </c>
      <c r="D229" s="0" t="s">
        <v>63</v>
      </c>
      <c r="E229" s="0" t="s">
        <v>128</v>
      </c>
      <c r="F229" s="6">
        <v>15260</v>
      </c>
      <c r="G229" s="0" t="s">
        <v>133</v>
      </c>
      <c r="H229" s="6">
        <v>29542</v>
      </c>
      <c r="I229" s="0" t="s">
        <v>134</v>
      </c>
      <c r="J229" s="0" t="s">
        <v>135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</row>
    <row r="230" spans="1:23">
      <c r="A230" s="4">
        <v>6892</v>
      </c>
      <c r="B230" s="0" t="s">
        <v>82</v>
      </c>
      <c r="C230" s="0" t="s">
        <v>154</v>
      </c>
      <c r="D230" s="0" t="s">
        <v>79</v>
      </c>
      <c r="E230" s="0" t="s">
        <v>128</v>
      </c>
      <c r="F230" s="6">
        <v>18364</v>
      </c>
      <c r="G230" s="0" t="s">
        <v>91</v>
      </c>
      <c r="H230" s="6">
        <v>30773</v>
      </c>
      <c r="I230" s="0" t="s">
        <v>92</v>
      </c>
      <c r="J230" s="0" t="s">
        <v>71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</row>
    <row r="231" spans="1:23">
      <c r="A231" s="4">
        <v>6892</v>
      </c>
      <c r="B231" s="0" t="s">
        <v>65</v>
      </c>
      <c r="C231" s="0" t="s">
        <v>154</v>
      </c>
      <c r="D231" s="0" t="s">
        <v>79</v>
      </c>
      <c r="E231" s="0" t="s">
        <v>128</v>
      </c>
      <c r="F231" s="6">
        <v>2720</v>
      </c>
      <c r="G231" s="0" t="s">
        <v>52</v>
      </c>
      <c r="H231" s="6">
        <v>33555</v>
      </c>
      <c r="I231" s="0" t="s">
        <v>80</v>
      </c>
      <c r="J231" s="0" t="s">
        <v>81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</row>
    <row r="232" spans="1:23">
      <c r="A232" s="4">
        <v>6892</v>
      </c>
      <c r="B232" s="0" t="s">
        <v>65</v>
      </c>
      <c r="C232" s="0" t="s">
        <v>158</v>
      </c>
      <c r="D232" s="0" t="s">
        <v>18</v>
      </c>
      <c r="E232" s="0" t="s">
        <v>128</v>
      </c>
      <c r="F232" s="6">
        <v>21019</v>
      </c>
      <c r="G232" s="0" t="s">
        <v>148</v>
      </c>
      <c r="H232" s="6">
        <v>35594</v>
      </c>
      <c r="I232" s="0" t="s">
        <v>149</v>
      </c>
      <c r="J232" s="0" t="s">
        <v>87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</row>
    <row r="233" spans="1:23">
      <c r="A233" s="4">
        <v>6892</v>
      </c>
      <c r="B233" s="0" t="s">
        <v>65</v>
      </c>
      <c r="C233" s="0" t="s">
        <v>158</v>
      </c>
      <c r="D233" s="0" t="s">
        <v>18</v>
      </c>
      <c r="E233" s="0" t="s">
        <v>128</v>
      </c>
      <c r="F233" s="6">
        <v>11922</v>
      </c>
      <c r="G233" s="0" t="s">
        <v>137</v>
      </c>
      <c r="H233" s="6">
        <v>32459</v>
      </c>
      <c r="I233" s="0" t="s">
        <v>150</v>
      </c>
      <c r="J233" s="0" t="s">
        <v>22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</row>
    <row r="234" spans="1:23">
      <c r="A234" s="4">
        <v>6892</v>
      </c>
      <c r="B234" s="0" t="s">
        <v>82</v>
      </c>
      <c r="C234" s="0" t="s">
        <v>158</v>
      </c>
      <c r="D234" s="0" t="s">
        <v>18</v>
      </c>
      <c r="E234" s="0" t="s">
        <v>128</v>
      </c>
      <c r="F234" s="6">
        <v>8400</v>
      </c>
      <c r="G234" s="0" t="s">
        <v>85</v>
      </c>
      <c r="H234" s="6">
        <v>22845</v>
      </c>
      <c r="I234" s="0" t="s">
        <v>86</v>
      </c>
      <c r="J234" s="0" t="s">
        <v>87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</row>
    <row r="235" spans="1:23">
      <c r="A235" s="4">
        <v>6892</v>
      </c>
      <c r="B235" s="0" t="s">
        <v>65</v>
      </c>
      <c r="C235" s="0" t="s">
        <v>158</v>
      </c>
      <c r="D235" s="0" t="s">
        <v>18</v>
      </c>
      <c r="E235" s="0" t="s">
        <v>128</v>
      </c>
      <c r="F235" s="6">
        <v>21432</v>
      </c>
      <c r="G235" s="0" t="s">
        <v>69</v>
      </c>
      <c r="H235" s="6">
        <v>36357</v>
      </c>
      <c r="I235" s="0" t="s">
        <v>70</v>
      </c>
      <c r="J235" s="0" t="s">
        <v>71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</row>
    <row r="236" spans="1:23">
      <c r="A236" s="4">
        <v>6892</v>
      </c>
      <c r="B236" s="0" t="s">
        <v>38</v>
      </c>
      <c r="C236" s="0" t="s">
        <v>158</v>
      </c>
      <c r="D236" s="0" t="s">
        <v>23</v>
      </c>
      <c r="E236" s="0" t="s">
        <v>128</v>
      </c>
      <c r="F236" s="6">
        <v>10423</v>
      </c>
      <c r="G236" s="0" t="s">
        <v>100</v>
      </c>
      <c r="H236" s="6">
        <v>20982</v>
      </c>
      <c r="I236" s="0" t="s">
        <v>101</v>
      </c>
      <c r="J236" s="0" t="s">
        <v>102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</row>
    <row r="237" spans="1:23">
      <c r="A237" s="4">
        <v>6892</v>
      </c>
      <c r="B237" s="0" t="s">
        <v>38</v>
      </c>
      <c r="C237" s="0" t="s">
        <v>158</v>
      </c>
      <c r="D237" s="0" t="s">
        <v>117</v>
      </c>
      <c r="E237" s="0" t="s">
        <v>128</v>
      </c>
      <c r="F237" s="6">
        <v>8659</v>
      </c>
      <c r="G237" s="0" t="s">
        <v>155</v>
      </c>
      <c r="H237" s="6">
        <v>32403</v>
      </c>
      <c r="I237" s="0" t="s">
        <v>156</v>
      </c>
      <c r="J237" s="0" t="s">
        <v>157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</row>
    <row r="238" spans="1:23">
      <c r="A238" s="4">
        <v>6892</v>
      </c>
      <c r="B238" s="0" t="s">
        <v>82</v>
      </c>
      <c r="C238" s="0" t="s">
        <v>158</v>
      </c>
      <c r="D238" s="0" t="s">
        <v>117</v>
      </c>
      <c r="E238" s="0" t="s">
        <v>128</v>
      </c>
      <c r="F238" s="6">
        <v>8533</v>
      </c>
      <c r="G238" s="0" t="s">
        <v>141</v>
      </c>
      <c r="H238" s="6">
        <v>35636</v>
      </c>
      <c r="I238" s="0" t="s">
        <v>142</v>
      </c>
      <c r="J238" s="0" t="s">
        <v>74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</row>
    <row r="239" spans="1:23">
      <c r="A239" s="4">
        <v>6892</v>
      </c>
      <c r="B239" s="0" t="s">
        <v>82</v>
      </c>
      <c r="C239" s="0" t="s">
        <v>158</v>
      </c>
      <c r="D239" s="0" t="s">
        <v>30</v>
      </c>
      <c r="E239" s="0" t="s">
        <v>128</v>
      </c>
      <c r="F239" s="6">
        <v>1847</v>
      </c>
      <c r="G239" s="0" t="s">
        <v>57</v>
      </c>
      <c r="H239" s="6">
        <v>29457</v>
      </c>
      <c r="I239" s="0" t="s">
        <v>90</v>
      </c>
      <c r="J239" s="0" t="s">
        <v>42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</row>
    <row r="240" spans="1:23">
      <c r="A240" s="4">
        <v>6892</v>
      </c>
      <c r="B240" s="0" t="s">
        <v>65</v>
      </c>
      <c r="C240" s="0" t="s">
        <v>158</v>
      </c>
      <c r="D240" s="0" t="s">
        <v>30</v>
      </c>
      <c r="E240" s="0" t="s">
        <v>128</v>
      </c>
      <c r="F240" s="6">
        <v>7238</v>
      </c>
      <c r="G240" s="0" t="s">
        <v>94</v>
      </c>
      <c r="H240" s="6">
        <v>32353</v>
      </c>
      <c r="I240" s="0" t="s">
        <v>96</v>
      </c>
      <c r="J240" s="0" t="s">
        <v>42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</row>
    <row r="241" spans="1:23">
      <c r="A241" s="4">
        <v>6892</v>
      </c>
      <c r="B241" s="0" t="s">
        <v>38</v>
      </c>
      <c r="C241" s="0" t="s">
        <v>158</v>
      </c>
      <c r="D241" s="0" t="s">
        <v>30</v>
      </c>
      <c r="E241" s="0" t="s">
        <v>128</v>
      </c>
      <c r="F241" s="6">
        <v>10709</v>
      </c>
      <c r="G241" s="0" t="s">
        <v>131</v>
      </c>
      <c r="H241" s="6">
        <v>22107</v>
      </c>
      <c r="I241" s="0" t="s">
        <v>132</v>
      </c>
      <c r="J241" s="0" t="s">
        <v>42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</row>
    <row r="242" spans="1:23">
      <c r="A242" s="4">
        <v>6892</v>
      </c>
      <c r="B242" s="0" t="s">
        <v>65</v>
      </c>
      <c r="C242" s="0" t="s">
        <v>158</v>
      </c>
      <c r="D242" s="0" t="s">
        <v>30</v>
      </c>
      <c r="E242" s="0" t="s">
        <v>128</v>
      </c>
      <c r="F242" s="6">
        <v>1847</v>
      </c>
      <c r="G242" s="0" t="s">
        <v>57</v>
      </c>
      <c r="H242" s="6">
        <v>33522</v>
      </c>
      <c r="I242" s="0" t="s">
        <v>106</v>
      </c>
      <c r="J242" s="0" t="s">
        <v>42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</row>
    <row r="243" spans="1:23">
      <c r="A243" s="4">
        <v>6892</v>
      </c>
      <c r="B243" s="0" t="s">
        <v>38</v>
      </c>
      <c r="C243" s="0" t="s">
        <v>158</v>
      </c>
      <c r="D243" s="0" t="s">
        <v>30</v>
      </c>
      <c r="E243" s="0" t="s">
        <v>128</v>
      </c>
      <c r="F243" s="6">
        <v>10940</v>
      </c>
      <c r="G243" s="0" t="s">
        <v>45</v>
      </c>
      <c r="H243" s="6">
        <v>24142</v>
      </c>
      <c r="I243" s="0" t="s">
        <v>46</v>
      </c>
      <c r="J243" s="0" t="s">
        <v>42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</row>
    <row r="244" spans="1:23">
      <c r="A244" s="4">
        <v>6892</v>
      </c>
      <c r="B244" s="0" t="s">
        <v>65</v>
      </c>
      <c r="C244" s="0" t="s">
        <v>158</v>
      </c>
      <c r="D244" s="0" t="s">
        <v>34</v>
      </c>
      <c r="E244" s="0" t="s">
        <v>128</v>
      </c>
      <c r="F244" s="6">
        <v>2720</v>
      </c>
      <c r="G244" s="0" t="s">
        <v>52</v>
      </c>
      <c r="H244" s="6">
        <v>32799</v>
      </c>
      <c r="I244" s="0" t="s">
        <v>75</v>
      </c>
      <c r="J244" s="0" t="s">
        <v>42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</row>
    <row r="245" spans="1:23">
      <c r="A245" s="4">
        <v>6892</v>
      </c>
      <c r="B245" s="0" t="s">
        <v>38</v>
      </c>
      <c r="C245" s="0" t="s">
        <v>158</v>
      </c>
      <c r="D245" s="0" t="s">
        <v>34</v>
      </c>
      <c r="E245" s="0" t="s">
        <v>128</v>
      </c>
      <c r="F245" s="6">
        <v>2724</v>
      </c>
      <c r="G245" s="0" t="s">
        <v>47</v>
      </c>
      <c r="H245" s="6">
        <v>20545</v>
      </c>
      <c r="I245" s="0" t="s">
        <v>48</v>
      </c>
      <c r="J245" s="0" t="s">
        <v>42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</row>
    <row r="246" spans="1:23">
      <c r="A246" s="4">
        <v>6892</v>
      </c>
      <c r="B246" s="0" t="s">
        <v>82</v>
      </c>
      <c r="C246" s="0" t="s">
        <v>158</v>
      </c>
      <c r="D246" s="0" t="s">
        <v>51</v>
      </c>
      <c r="E246" s="0" t="s">
        <v>128</v>
      </c>
      <c r="F246" s="6">
        <v>16042</v>
      </c>
      <c r="G246" s="0" t="s">
        <v>143</v>
      </c>
      <c r="H246" s="6">
        <v>26609</v>
      </c>
      <c r="I246" s="0" t="s">
        <v>144</v>
      </c>
      <c r="J246" s="0" t="s">
        <v>145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</row>
    <row r="247" spans="1:23">
      <c r="A247" s="4">
        <v>6892</v>
      </c>
      <c r="B247" s="0" t="s">
        <v>38</v>
      </c>
      <c r="C247" s="0" t="s">
        <v>158</v>
      </c>
      <c r="D247" s="0" t="s">
        <v>51</v>
      </c>
      <c r="E247" s="0" t="s">
        <v>128</v>
      </c>
      <c r="F247" s="6">
        <v>3312</v>
      </c>
      <c r="G247" s="0" t="s">
        <v>40</v>
      </c>
      <c r="H247" s="6">
        <v>24750</v>
      </c>
      <c r="I247" s="0" t="s">
        <v>98</v>
      </c>
      <c r="J247" s="0" t="s">
        <v>42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</row>
    <row r="248" spans="1:23">
      <c r="A248" s="4">
        <v>6892</v>
      </c>
      <c r="B248" s="0" t="s">
        <v>38</v>
      </c>
      <c r="C248" s="0" t="s">
        <v>158</v>
      </c>
      <c r="D248" s="0" t="s">
        <v>51</v>
      </c>
      <c r="E248" s="0" t="s">
        <v>128</v>
      </c>
      <c r="F248" s="6">
        <v>10423</v>
      </c>
      <c r="G248" s="0" t="s">
        <v>100</v>
      </c>
      <c r="H248" s="6">
        <v>25420</v>
      </c>
      <c r="I248" s="0" t="s">
        <v>103</v>
      </c>
      <c r="J248" s="0" t="s">
        <v>42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</row>
    <row r="249" spans="1:23">
      <c r="A249" s="4">
        <v>6892</v>
      </c>
      <c r="B249" s="0" t="s">
        <v>38</v>
      </c>
      <c r="C249" s="0" t="s">
        <v>158</v>
      </c>
      <c r="D249" s="0" t="s">
        <v>55</v>
      </c>
      <c r="E249" s="0" t="s">
        <v>128</v>
      </c>
      <c r="F249" s="6">
        <v>1847</v>
      </c>
      <c r="G249" s="0" t="s">
        <v>57</v>
      </c>
      <c r="H249" s="6">
        <v>25013</v>
      </c>
      <c r="I249" s="0" t="s">
        <v>58</v>
      </c>
      <c r="J249" s="0" t="s">
        <v>42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</row>
    <row r="250" spans="1:23">
      <c r="A250" s="4">
        <v>6892</v>
      </c>
      <c r="B250" s="0" t="s">
        <v>65</v>
      </c>
      <c r="C250" s="0" t="s">
        <v>158</v>
      </c>
      <c r="D250" s="0" t="s">
        <v>55</v>
      </c>
      <c r="E250" s="0" t="s">
        <v>128</v>
      </c>
      <c r="F250" s="6">
        <v>4241</v>
      </c>
      <c r="G250" s="0" t="s">
        <v>139</v>
      </c>
      <c r="H250" s="6">
        <v>37742</v>
      </c>
      <c r="I250" s="0" t="s">
        <v>140</v>
      </c>
      <c r="J250" s="0" t="s">
        <v>42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</row>
    <row r="251" spans="1:23">
      <c r="A251" s="4">
        <v>6892</v>
      </c>
      <c r="B251" s="0" t="s">
        <v>65</v>
      </c>
      <c r="C251" s="0" t="s">
        <v>158</v>
      </c>
      <c r="D251" s="0" t="s">
        <v>59</v>
      </c>
      <c r="E251" s="0" t="s">
        <v>128</v>
      </c>
      <c r="F251" s="6">
        <v>19403</v>
      </c>
      <c r="G251" s="0" t="s">
        <v>151</v>
      </c>
      <c r="H251" s="6">
        <v>32702</v>
      </c>
      <c r="I251" s="0" t="s">
        <v>152</v>
      </c>
      <c r="J251" s="0" t="s">
        <v>153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</row>
    <row r="252" spans="1:23">
      <c r="A252" s="4">
        <v>6892</v>
      </c>
      <c r="B252" s="0" t="s">
        <v>65</v>
      </c>
      <c r="C252" s="0" t="s">
        <v>158</v>
      </c>
      <c r="D252" s="0" t="s">
        <v>63</v>
      </c>
      <c r="E252" s="0" t="s">
        <v>128</v>
      </c>
      <c r="F252" s="6">
        <v>16211</v>
      </c>
      <c r="G252" s="0" t="s">
        <v>76</v>
      </c>
      <c r="H252" s="6">
        <v>38645</v>
      </c>
      <c r="I252" s="0" t="s">
        <v>77</v>
      </c>
      <c r="J252" s="0" t="s">
        <v>78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</row>
    <row r="253" spans="1:23">
      <c r="A253" s="4">
        <v>6892</v>
      </c>
      <c r="B253" s="0" t="s">
        <v>38</v>
      </c>
      <c r="C253" s="0" t="s">
        <v>158</v>
      </c>
      <c r="D253" s="0" t="s">
        <v>63</v>
      </c>
      <c r="E253" s="0" t="s">
        <v>128</v>
      </c>
      <c r="F253" s="6">
        <v>15260</v>
      </c>
      <c r="G253" s="0" t="s">
        <v>133</v>
      </c>
      <c r="H253" s="6">
        <v>29542</v>
      </c>
      <c r="I253" s="0" t="s">
        <v>134</v>
      </c>
      <c r="J253" s="0" t="s">
        <v>135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</row>
    <row r="254" spans="1:23">
      <c r="A254" s="4">
        <v>6892</v>
      </c>
      <c r="B254" s="0" t="s">
        <v>65</v>
      </c>
      <c r="C254" s="0" t="s">
        <v>158</v>
      </c>
      <c r="D254" s="0" t="s">
        <v>79</v>
      </c>
      <c r="E254" s="0" t="s">
        <v>128</v>
      </c>
      <c r="F254" s="6">
        <v>2720</v>
      </c>
      <c r="G254" s="0" t="s">
        <v>52</v>
      </c>
      <c r="H254" s="6">
        <v>33555</v>
      </c>
      <c r="I254" s="0" t="s">
        <v>80</v>
      </c>
      <c r="J254" s="0" t="s">
        <v>81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</row>
    <row r="255" spans="1:23">
      <c r="A255" s="4">
        <v>6892</v>
      </c>
      <c r="B255" s="0" t="s">
        <v>82</v>
      </c>
      <c r="C255" s="0" t="s">
        <v>158</v>
      </c>
      <c r="D255" s="0" t="s">
        <v>79</v>
      </c>
      <c r="E255" s="0" t="s">
        <v>128</v>
      </c>
      <c r="F255" s="6">
        <v>18364</v>
      </c>
      <c r="G255" s="0" t="s">
        <v>91</v>
      </c>
      <c r="H255" s="6">
        <v>30773</v>
      </c>
      <c r="I255" s="0" t="s">
        <v>92</v>
      </c>
      <c r="J255" s="0" t="s">
        <v>71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</row>
    <row r="256" spans="1:23">
      <c r="A256" s="4">
        <v>6892</v>
      </c>
      <c r="B256" s="0" t="s">
        <v>16</v>
      </c>
      <c r="C256" s="0" t="s">
        <v>115</v>
      </c>
      <c r="D256" s="0" t="s">
        <v>18</v>
      </c>
      <c r="E256" s="0" t="s">
        <v>128</v>
      </c>
      <c r="F256" s="6">
        <v>22247</v>
      </c>
      <c r="G256" s="0" t="s">
        <v>20</v>
      </c>
      <c r="H256" s="6">
        <v>38009</v>
      </c>
      <c r="I256" s="0" t="s">
        <v>21</v>
      </c>
      <c r="J256" s="0" t="s">
        <v>22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</row>
    <row r="257" spans="1:23">
      <c r="A257" s="4">
        <v>6892</v>
      </c>
      <c r="B257" s="0" t="s">
        <v>16</v>
      </c>
      <c r="C257" s="0" t="s">
        <v>115</v>
      </c>
      <c r="D257" s="0" t="s">
        <v>18</v>
      </c>
      <c r="E257" s="0" t="s">
        <v>128</v>
      </c>
      <c r="F257" s="6">
        <v>21432</v>
      </c>
      <c r="G257" s="0" t="s">
        <v>69</v>
      </c>
      <c r="H257" s="6">
        <v>38794</v>
      </c>
      <c r="I257" s="0" t="s">
        <v>116</v>
      </c>
      <c r="J257" s="0" t="s">
        <v>71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</row>
    <row r="258" spans="1:23">
      <c r="A258" s="4">
        <v>6892</v>
      </c>
      <c r="B258" s="0" t="s">
        <v>16</v>
      </c>
      <c r="C258" s="0" t="s">
        <v>115</v>
      </c>
      <c r="D258" s="0" t="s">
        <v>39</v>
      </c>
      <c r="E258" s="0" t="s">
        <v>128</v>
      </c>
      <c r="F258" s="6">
        <v>21470</v>
      </c>
      <c r="G258" s="0" t="s">
        <v>129</v>
      </c>
      <c r="H258" s="6">
        <v>36436</v>
      </c>
      <c r="I258" s="0" t="s">
        <v>130</v>
      </c>
      <c r="J258" s="0" t="s">
        <v>42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</row>
    <row r="259" spans="1:23">
      <c r="A259" s="4">
        <v>6892</v>
      </c>
      <c r="B259" s="0" t="s">
        <v>16</v>
      </c>
      <c r="C259" s="0" t="s">
        <v>115</v>
      </c>
      <c r="D259" s="0" t="s">
        <v>34</v>
      </c>
      <c r="E259" s="0" t="s">
        <v>128</v>
      </c>
      <c r="F259" s="6">
        <v>20925</v>
      </c>
      <c r="G259" s="0" t="s">
        <v>35</v>
      </c>
      <c r="H259" s="6">
        <v>39155</v>
      </c>
      <c r="I259" s="0" t="s">
        <v>159</v>
      </c>
      <c r="J259" s="0" t="s">
        <v>160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</row>
    <row r="260" spans="1:23">
      <c r="A260" s="4">
        <v>6892</v>
      </c>
      <c r="B260" s="0" t="s">
        <v>16</v>
      </c>
      <c r="C260" s="0" t="s">
        <v>115</v>
      </c>
      <c r="D260" s="0" t="s">
        <v>59</v>
      </c>
      <c r="E260" s="0" t="s">
        <v>128</v>
      </c>
      <c r="F260" s="6">
        <v>22891</v>
      </c>
      <c r="G260" s="0" t="s">
        <v>121</v>
      </c>
      <c r="H260" s="6">
        <v>39181</v>
      </c>
      <c r="I260" s="0" t="s">
        <v>122</v>
      </c>
      <c r="J260" s="0" t="s">
        <v>123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</row>
    <row r="261" spans="1:23">
      <c r="A261" s="4">
        <v>6892</v>
      </c>
      <c r="B261" s="0" t="s">
        <v>38</v>
      </c>
      <c r="C261" s="0" t="s">
        <v>115</v>
      </c>
      <c r="D261" s="0" t="s">
        <v>18</v>
      </c>
      <c r="E261" s="0" t="s">
        <v>128</v>
      </c>
      <c r="F261" s="6">
        <v>8400</v>
      </c>
      <c r="G261" s="0" t="s">
        <v>85</v>
      </c>
      <c r="H261" s="6">
        <v>22845</v>
      </c>
      <c r="I261" s="0" t="s">
        <v>86</v>
      </c>
      <c r="J261" s="0" t="s">
        <v>87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</row>
    <row r="262" spans="1:23">
      <c r="A262" s="4">
        <v>6892</v>
      </c>
      <c r="B262" s="0" t="s">
        <v>38</v>
      </c>
      <c r="C262" s="0" t="s">
        <v>115</v>
      </c>
      <c r="D262" s="0" t="s">
        <v>30</v>
      </c>
      <c r="E262" s="0" t="s">
        <v>128</v>
      </c>
      <c r="F262" s="6">
        <v>2755</v>
      </c>
      <c r="G262" s="0" t="s">
        <v>43</v>
      </c>
      <c r="H262" s="6">
        <v>26782</v>
      </c>
      <c r="I262" s="0" t="s">
        <v>44</v>
      </c>
      <c r="J262" s="0" t="s">
        <v>42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</row>
    <row r="263" spans="1:23">
      <c r="A263" s="4">
        <v>6892</v>
      </c>
      <c r="B263" s="0" t="s">
        <v>38</v>
      </c>
      <c r="C263" s="0" t="s">
        <v>115</v>
      </c>
      <c r="D263" s="0" t="s">
        <v>30</v>
      </c>
      <c r="E263" s="0" t="s">
        <v>128</v>
      </c>
      <c r="F263" s="6">
        <v>11193</v>
      </c>
      <c r="G263" s="0" t="s">
        <v>161</v>
      </c>
      <c r="H263" s="6">
        <v>23834</v>
      </c>
      <c r="I263" s="0" t="s">
        <v>162</v>
      </c>
      <c r="J263" s="0" t="s">
        <v>163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</row>
    <row r="264" spans="1:23">
      <c r="A264" s="4">
        <v>6892</v>
      </c>
      <c r="B264" s="0" t="s">
        <v>38</v>
      </c>
      <c r="C264" s="0" t="s">
        <v>115</v>
      </c>
      <c r="D264" s="0" t="s">
        <v>30</v>
      </c>
      <c r="E264" s="0" t="s">
        <v>128</v>
      </c>
      <c r="F264" s="6">
        <v>10940</v>
      </c>
      <c r="G264" s="0" t="s">
        <v>45</v>
      </c>
      <c r="H264" s="6">
        <v>24142</v>
      </c>
      <c r="I264" s="0" t="s">
        <v>46</v>
      </c>
      <c r="J264" s="0" t="s">
        <v>42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</row>
    <row r="265" spans="1:23">
      <c r="A265" s="4">
        <v>6892</v>
      </c>
      <c r="B265" s="0" t="s">
        <v>38</v>
      </c>
      <c r="C265" s="0" t="s">
        <v>115</v>
      </c>
      <c r="D265" s="0" t="s">
        <v>51</v>
      </c>
      <c r="E265" s="0" t="s">
        <v>128</v>
      </c>
      <c r="F265" s="6">
        <v>2720</v>
      </c>
      <c r="G265" s="0" t="s">
        <v>52</v>
      </c>
      <c r="H265" s="6">
        <v>24040</v>
      </c>
      <c r="I265" s="0" t="s">
        <v>53</v>
      </c>
      <c r="J265" s="0" t="s">
        <v>42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</row>
    <row r="266" spans="1:23">
      <c r="A266" s="4">
        <v>6892</v>
      </c>
      <c r="B266" s="0" t="s">
        <v>38</v>
      </c>
      <c r="C266" s="0" t="s">
        <v>115</v>
      </c>
      <c r="D266" s="0" t="s">
        <v>55</v>
      </c>
      <c r="E266" s="0" t="s">
        <v>128</v>
      </c>
      <c r="F266" s="6">
        <v>2720</v>
      </c>
      <c r="G266" s="0" t="s">
        <v>52</v>
      </c>
      <c r="H266" s="6">
        <v>31304</v>
      </c>
      <c r="I266" s="0" t="s">
        <v>56</v>
      </c>
      <c r="J266" s="0" t="s">
        <v>42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</row>
    <row r="267" spans="1:23">
      <c r="A267" s="4">
        <v>6892</v>
      </c>
      <c r="B267" s="0" t="s">
        <v>38</v>
      </c>
      <c r="C267" s="0" t="s">
        <v>115</v>
      </c>
      <c r="D267" s="0" t="s">
        <v>79</v>
      </c>
      <c r="E267" s="0" t="s">
        <v>128</v>
      </c>
      <c r="F267" s="6">
        <v>18364</v>
      </c>
      <c r="G267" s="0" t="s">
        <v>91</v>
      </c>
      <c r="H267" s="6">
        <v>30773</v>
      </c>
      <c r="I267" s="0" t="s">
        <v>92</v>
      </c>
      <c r="J267" s="0" t="s">
        <v>71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</row>
    <row r="268" spans="1:23">
      <c r="A268" s="4">
        <v>6892</v>
      </c>
      <c r="B268" s="0" t="s">
        <v>65</v>
      </c>
      <c r="C268" s="0" t="s">
        <v>115</v>
      </c>
      <c r="D268" s="0" t="s">
        <v>18</v>
      </c>
      <c r="E268" s="0" t="s">
        <v>128</v>
      </c>
      <c r="F268" s="6">
        <v>11922</v>
      </c>
      <c r="G268" s="0" t="s">
        <v>137</v>
      </c>
      <c r="H268" s="6">
        <v>32459</v>
      </c>
      <c r="I268" s="0" t="s">
        <v>150</v>
      </c>
      <c r="J268" s="0" t="s">
        <v>22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</row>
    <row r="269" spans="1:23">
      <c r="A269" s="4">
        <v>6892</v>
      </c>
      <c r="B269" s="0" t="s">
        <v>65</v>
      </c>
      <c r="C269" s="0" t="s">
        <v>115</v>
      </c>
      <c r="D269" s="0" t="s">
        <v>18</v>
      </c>
      <c r="E269" s="0" t="s">
        <v>128</v>
      </c>
      <c r="F269" s="6">
        <v>21019</v>
      </c>
      <c r="G269" s="0" t="s">
        <v>148</v>
      </c>
      <c r="H269" s="6">
        <v>35594</v>
      </c>
      <c r="I269" s="0" t="s">
        <v>149</v>
      </c>
      <c r="J269" s="0" t="s">
        <v>87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</row>
    <row r="270" spans="1:23">
      <c r="A270" s="4">
        <v>6892</v>
      </c>
      <c r="B270" s="0" t="s">
        <v>65</v>
      </c>
      <c r="C270" s="0" t="s">
        <v>115</v>
      </c>
      <c r="D270" s="0" t="s">
        <v>39</v>
      </c>
      <c r="E270" s="0" t="s">
        <v>128</v>
      </c>
      <c r="F270" s="6">
        <v>10940</v>
      </c>
      <c r="G270" s="0" t="s">
        <v>45</v>
      </c>
      <c r="H270" s="6">
        <v>39399</v>
      </c>
      <c r="I270" s="0" t="s">
        <v>124</v>
      </c>
      <c r="J270" s="0" t="s">
        <v>125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</row>
    <row r="271" spans="1:23">
      <c r="A271" s="4">
        <v>6892</v>
      </c>
      <c r="B271" s="0" t="s">
        <v>65</v>
      </c>
      <c r="C271" s="0" t="s">
        <v>115</v>
      </c>
      <c r="D271" s="0" t="s">
        <v>30</v>
      </c>
      <c r="E271" s="0" t="s">
        <v>128</v>
      </c>
      <c r="F271" s="6">
        <v>8486</v>
      </c>
      <c r="G271" s="0" t="s">
        <v>107</v>
      </c>
      <c r="H271" s="6">
        <v>36688</v>
      </c>
      <c r="I271" s="0" t="s">
        <v>108</v>
      </c>
      <c r="J271" s="0" t="s">
        <v>42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</row>
    <row r="272" spans="1:23">
      <c r="A272" s="4">
        <v>6892</v>
      </c>
      <c r="B272" s="0" t="s">
        <v>65</v>
      </c>
      <c r="C272" s="0" t="s">
        <v>115</v>
      </c>
      <c r="D272" s="0" t="s">
        <v>30</v>
      </c>
      <c r="E272" s="0" t="s">
        <v>128</v>
      </c>
      <c r="F272" s="6">
        <v>20390</v>
      </c>
      <c r="G272" s="0" t="s">
        <v>164</v>
      </c>
      <c r="H272" s="6">
        <v>34491</v>
      </c>
      <c r="I272" s="0" t="s">
        <v>165</v>
      </c>
      <c r="J272" s="0" t="s">
        <v>166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</row>
    <row r="273" spans="1:23">
      <c r="A273" s="4">
        <v>6892</v>
      </c>
      <c r="B273" s="0" t="s">
        <v>65</v>
      </c>
      <c r="C273" s="0" t="s">
        <v>115</v>
      </c>
      <c r="D273" s="0" t="s">
        <v>34</v>
      </c>
      <c r="E273" s="0" t="s">
        <v>128</v>
      </c>
      <c r="F273" s="6">
        <v>20925</v>
      </c>
      <c r="G273" s="0" t="s">
        <v>35</v>
      </c>
      <c r="H273" s="6">
        <v>35435</v>
      </c>
      <c r="I273" s="0" t="s">
        <v>36</v>
      </c>
      <c r="J273" s="0" t="s">
        <v>37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</row>
    <row r="274" spans="1:23">
      <c r="A274" s="4">
        <v>6892</v>
      </c>
      <c r="B274" s="0" t="s">
        <v>65</v>
      </c>
      <c r="C274" s="0" t="s">
        <v>115</v>
      </c>
      <c r="D274" s="0" t="s">
        <v>55</v>
      </c>
      <c r="E274" s="0" t="s">
        <v>128</v>
      </c>
      <c r="F274" s="6">
        <v>12052</v>
      </c>
      <c r="G274" s="0" t="s">
        <v>146</v>
      </c>
      <c r="H274" s="6">
        <v>26483</v>
      </c>
      <c r="I274" s="0" t="s">
        <v>147</v>
      </c>
      <c r="J274" s="0" t="s">
        <v>42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</row>
    <row r="275" spans="1:23">
      <c r="A275" s="4">
        <v>6892</v>
      </c>
      <c r="B275" s="0" t="s">
        <v>65</v>
      </c>
      <c r="C275" s="0" t="s">
        <v>115</v>
      </c>
      <c r="D275" s="0" t="s">
        <v>63</v>
      </c>
      <c r="E275" s="0" t="s">
        <v>128</v>
      </c>
      <c r="F275" s="6">
        <v>16211</v>
      </c>
      <c r="G275" s="0" t="s">
        <v>76</v>
      </c>
      <c r="H275" s="6">
        <v>38645</v>
      </c>
      <c r="I275" s="0" t="s">
        <v>77</v>
      </c>
      <c r="J275" s="0" t="s">
        <v>78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</row>
    <row r="276" spans="1:23">
      <c r="A276" s="4">
        <v>6892</v>
      </c>
      <c r="B276" s="0" t="s">
        <v>82</v>
      </c>
      <c r="C276" s="0" t="s">
        <v>115</v>
      </c>
      <c r="D276" s="0" t="s">
        <v>18</v>
      </c>
      <c r="E276" s="0" t="s">
        <v>128</v>
      </c>
      <c r="F276" s="6">
        <v>21432</v>
      </c>
      <c r="G276" s="0" t="s">
        <v>69</v>
      </c>
      <c r="H276" s="6">
        <v>36357</v>
      </c>
      <c r="I276" s="0" t="s">
        <v>70</v>
      </c>
      <c r="J276" s="0" t="s">
        <v>71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</row>
    <row r="277" spans="1:23">
      <c r="A277" s="4">
        <v>6892</v>
      </c>
      <c r="B277" s="0" t="s">
        <v>82</v>
      </c>
      <c r="C277" s="0" t="s">
        <v>115</v>
      </c>
      <c r="D277" s="0" t="s">
        <v>23</v>
      </c>
      <c r="E277" s="0" t="s">
        <v>128</v>
      </c>
      <c r="F277" s="6">
        <v>8399</v>
      </c>
      <c r="G277" s="0" t="s">
        <v>88</v>
      </c>
      <c r="H277" s="6">
        <v>20543</v>
      </c>
      <c r="I277" s="0" t="s">
        <v>89</v>
      </c>
      <c r="J277" s="0" t="s">
        <v>87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</row>
    <row r="278" spans="1:23">
      <c r="A278" s="4">
        <v>6892</v>
      </c>
      <c r="B278" s="0" t="s">
        <v>82</v>
      </c>
      <c r="C278" s="0" t="s">
        <v>115</v>
      </c>
      <c r="D278" s="0" t="s">
        <v>117</v>
      </c>
      <c r="E278" s="0" t="s">
        <v>128</v>
      </c>
      <c r="F278" s="6">
        <v>8533</v>
      </c>
      <c r="G278" s="0" t="s">
        <v>141</v>
      </c>
      <c r="H278" s="6">
        <v>35636</v>
      </c>
      <c r="I278" s="0" t="s">
        <v>142</v>
      </c>
      <c r="J278" s="0" t="s">
        <v>74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</row>
    <row r="279" spans="1:23">
      <c r="A279" s="4">
        <v>6892</v>
      </c>
      <c r="B279" s="0" t="s">
        <v>82</v>
      </c>
      <c r="C279" s="0" t="s">
        <v>115</v>
      </c>
      <c r="D279" s="0" t="s">
        <v>30</v>
      </c>
      <c r="E279" s="0" t="s">
        <v>128</v>
      </c>
      <c r="F279" s="6">
        <v>1847</v>
      </c>
      <c r="G279" s="0" t="s">
        <v>57</v>
      </c>
      <c r="H279" s="6">
        <v>33522</v>
      </c>
      <c r="I279" s="0" t="s">
        <v>106</v>
      </c>
      <c r="J279" s="0" t="s">
        <v>42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</row>
    <row r="280" spans="1:23">
      <c r="A280" s="4">
        <v>6892</v>
      </c>
      <c r="B280" s="0" t="s">
        <v>82</v>
      </c>
      <c r="C280" s="0" t="s">
        <v>115</v>
      </c>
      <c r="D280" s="0" t="s">
        <v>34</v>
      </c>
      <c r="E280" s="0" t="s">
        <v>128</v>
      </c>
      <c r="F280" s="6">
        <v>18011</v>
      </c>
      <c r="G280" s="0" t="s">
        <v>126</v>
      </c>
      <c r="H280" s="6">
        <v>30079</v>
      </c>
      <c r="I280" s="0" t="s">
        <v>167</v>
      </c>
      <c r="J280" s="0" t="s">
        <v>168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</row>
    <row r="281" spans="1:23">
      <c r="A281" s="4">
        <v>6892</v>
      </c>
      <c r="B281" s="0" t="s">
        <v>82</v>
      </c>
      <c r="C281" s="0" t="s">
        <v>115</v>
      </c>
      <c r="D281" s="0" t="s">
        <v>34</v>
      </c>
      <c r="E281" s="0" t="s">
        <v>128</v>
      </c>
      <c r="F281" s="6">
        <v>2720</v>
      </c>
      <c r="G281" s="0" t="s">
        <v>52</v>
      </c>
      <c r="H281" s="6">
        <v>32799</v>
      </c>
      <c r="I281" s="0" t="s">
        <v>75</v>
      </c>
      <c r="J281" s="0" t="s">
        <v>42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</row>
    <row r="282" spans="1:23">
      <c r="A282" s="4">
        <v>6892</v>
      </c>
      <c r="B282" s="0" t="s">
        <v>82</v>
      </c>
      <c r="C282" s="0" t="s">
        <v>115</v>
      </c>
      <c r="D282" s="0" t="s">
        <v>34</v>
      </c>
      <c r="E282" s="0" t="s">
        <v>128</v>
      </c>
      <c r="F282" s="6">
        <v>18011</v>
      </c>
      <c r="G282" s="0" t="s">
        <v>126</v>
      </c>
      <c r="H282" s="6">
        <v>30080</v>
      </c>
      <c r="I282" s="0" t="s">
        <v>127</v>
      </c>
      <c r="J282" s="0" t="s">
        <v>37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</row>
    <row r="283" spans="1:23">
      <c r="A283" s="4">
        <v>6892</v>
      </c>
      <c r="B283" s="0" t="s">
        <v>82</v>
      </c>
      <c r="C283" s="0" t="s">
        <v>115</v>
      </c>
      <c r="D283" s="0" t="s">
        <v>63</v>
      </c>
      <c r="E283" s="0" t="s">
        <v>128</v>
      </c>
      <c r="F283" s="6">
        <v>5995</v>
      </c>
      <c r="G283" s="0" t="s">
        <v>169</v>
      </c>
      <c r="H283" s="6">
        <v>38292</v>
      </c>
      <c r="I283" s="0" t="s">
        <v>170</v>
      </c>
      <c r="J283" s="0" t="s">
        <v>171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</row>
    <row r="284" spans="1:23">
      <c r="A284" s="4">
        <v>6892</v>
      </c>
      <c r="B284" s="0" t="s">
        <v>82</v>
      </c>
      <c r="C284" s="0" t="s">
        <v>115</v>
      </c>
      <c r="D284" s="0" t="s">
        <v>79</v>
      </c>
      <c r="E284" s="0" t="s">
        <v>128</v>
      </c>
      <c r="F284" s="6">
        <v>2720</v>
      </c>
      <c r="G284" s="0" t="s">
        <v>52</v>
      </c>
      <c r="H284" s="6">
        <v>33555</v>
      </c>
      <c r="I284" s="0" t="s">
        <v>80</v>
      </c>
      <c r="J284" s="0" t="s">
        <v>81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</row>
    <row r="285" spans="1:23">
      <c r="A285" s="4">
        <v>6892</v>
      </c>
      <c r="B285" s="0" t="s">
        <v>16</v>
      </c>
      <c r="C285" s="0" t="s">
        <v>172</v>
      </c>
      <c r="D285" s="0" t="s">
        <v>18</v>
      </c>
      <c r="E285" s="0" t="s">
        <v>128</v>
      </c>
      <c r="F285" s="6">
        <v>22247</v>
      </c>
      <c r="G285" s="0" t="s">
        <v>20</v>
      </c>
      <c r="H285" s="6">
        <v>38009</v>
      </c>
      <c r="I285" s="0" t="s">
        <v>21</v>
      </c>
      <c r="J285" s="0" t="s">
        <v>22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</row>
    <row r="286" spans="1:23">
      <c r="A286" s="4">
        <v>6892</v>
      </c>
      <c r="B286" s="0" t="s">
        <v>16</v>
      </c>
      <c r="C286" s="0" t="s">
        <v>172</v>
      </c>
      <c r="D286" s="0" t="s">
        <v>18</v>
      </c>
      <c r="E286" s="0" t="s">
        <v>128</v>
      </c>
      <c r="F286" s="6">
        <v>21432</v>
      </c>
      <c r="G286" s="0" t="s">
        <v>69</v>
      </c>
      <c r="H286" s="6">
        <v>38794</v>
      </c>
      <c r="I286" s="0" t="s">
        <v>116</v>
      </c>
      <c r="J286" s="0" t="s">
        <v>71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</row>
    <row r="287" spans="1:23">
      <c r="A287" s="4">
        <v>6892</v>
      </c>
      <c r="B287" s="0" t="s">
        <v>16</v>
      </c>
      <c r="C287" s="0" t="s">
        <v>172</v>
      </c>
      <c r="D287" s="0" t="s">
        <v>39</v>
      </c>
      <c r="E287" s="0" t="s">
        <v>128</v>
      </c>
      <c r="F287" s="6">
        <v>21470</v>
      </c>
      <c r="G287" s="0" t="s">
        <v>129</v>
      </c>
      <c r="H287" s="6">
        <v>36436</v>
      </c>
      <c r="I287" s="0" t="s">
        <v>130</v>
      </c>
      <c r="J287" s="0" t="s">
        <v>42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</row>
    <row r="288" spans="1:23">
      <c r="A288" s="4">
        <v>6892</v>
      </c>
      <c r="B288" s="0" t="s">
        <v>16</v>
      </c>
      <c r="C288" s="0" t="s">
        <v>172</v>
      </c>
      <c r="D288" s="0" t="s">
        <v>34</v>
      </c>
      <c r="E288" s="0" t="s">
        <v>128</v>
      </c>
      <c r="F288" s="6">
        <v>20925</v>
      </c>
      <c r="G288" s="0" t="s">
        <v>35</v>
      </c>
      <c r="H288" s="6">
        <v>39155</v>
      </c>
      <c r="I288" s="0" t="s">
        <v>159</v>
      </c>
      <c r="J288" s="0" t="s">
        <v>160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</row>
    <row r="289" spans="1:23">
      <c r="A289" s="4">
        <v>6892</v>
      </c>
      <c r="B289" s="0" t="s">
        <v>16</v>
      </c>
      <c r="C289" s="0" t="s">
        <v>172</v>
      </c>
      <c r="D289" s="0" t="s">
        <v>59</v>
      </c>
      <c r="E289" s="0" t="s">
        <v>128</v>
      </c>
      <c r="F289" s="6">
        <v>22891</v>
      </c>
      <c r="G289" s="0" t="s">
        <v>121</v>
      </c>
      <c r="H289" s="6">
        <v>39181</v>
      </c>
      <c r="I289" s="0" t="s">
        <v>122</v>
      </c>
      <c r="J289" s="0" t="s">
        <v>123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</row>
    <row r="290" spans="1:23">
      <c r="A290" s="4">
        <v>6892</v>
      </c>
      <c r="B290" s="0" t="s">
        <v>38</v>
      </c>
      <c r="C290" s="0" t="s">
        <v>172</v>
      </c>
      <c r="D290" s="0" t="s">
        <v>30</v>
      </c>
      <c r="E290" s="0" t="s">
        <v>128</v>
      </c>
      <c r="F290" s="6">
        <v>11193</v>
      </c>
      <c r="G290" s="0" t="s">
        <v>161</v>
      </c>
      <c r="H290" s="6">
        <v>23834</v>
      </c>
      <c r="I290" s="0" t="s">
        <v>162</v>
      </c>
      <c r="J290" s="0" t="s">
        <v>163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</row>
    <row r="291" spans="1:23">
      <c r="A291" s="4">
        <v>6892</v>
      </c>
      <c r="B291" s="0" t="s">
        <v>38</v>
      </c>
      <c r="C291" s="0" t="s">
        <v>172</v>
      </c>
      <c r="D291" s="0" t="s">
        <v>30</v>
      </c>
      <c r="E291" s="0" t="s">
        <v>128</v>
      </c>
      <c r="F291" s="6">
        <v>10940</v>
      </c>
      <c r="G291" s="0" t="s">
        <v>45</v>
      </c>
      <c r="H291" s="6">
        <v>24142</v>
      </c>
      <c r="I291" s="0" t="s">
        <v>46</v>
      </c>
      <c r="J291" s="0" t="s">
        <v>42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</row>
    <row r="292" spans="1:23">
      <c r="A292" s="4">
        <v>6892</v>
      </c>
      <c r="B292" s="0" t="s">
        <v>38</v>
      </c>
      <c r="C292" s="0" t="s">
        <v>172</v>
      </c>
      <c r="D292" s="0" t="s">
        <v>30</v>
      </c>
      <c r="E292" s="0" t="s">
        <v>128</v>
      </c>
      <c r="F292" s="6">
        <v>10709</v>
      </c>
      <c r="G292" s="0" t="s">
        <v>131</v>
      </c>
      <c r="H292" s="6">
        <v>22107</v>
      </c>
      <c r="I292" s="0" t="s">
        <v>132</v>
      </c>
      <c r="J292" s="0" t="s">
        <v>42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</row>
    <row r="293" spans="1:23">
      <c r="A293" s="4">
        <v>6892</v>
      </c>
      <c r="B293" s="0" t="s">
        <v>38</v>
      </c>
      <c r="C293" s="0" t="s">
        <v>172</v>
      </c>
      <c r="D293" s="0" t="s">
        <v>30</v>
      </c>
      <c r="E293" s="0" t="s">
        <v>128</v>
      </c>
      <c r="F293" s="6">
        <v>2755</v>
      </c>
      <c r="G293" s="0" t="s">
        <v>43</v>
      </c>
      <c r="H293" s="6">
        <v>26782</v>
      </c>
      <c r="I293" s="0" t="s">
        <v>44</v>
      </c>
      <c r="J293" s="0" t="s">
        <v>42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</row>
    <row r="294" spans="1:23">
      <c r="A294" s="4">
        <v>6892</v>
      </c>
      <c r="B294" s="0" t="s">
        <v>38</v>
      </c>
      <c r="C294" s="0" t="s">
        <v>172</v>
      </c>
      <c r="D294" s="0" t="s">
        <v>30</v>
      </c>
      <c r="E294" s="0" t="s">
        <v>128</v>
      </c>
      <c r="F294" s="6">
        <v>8486</v>
      </c>
      <c r="G294" s="0" t="s">
        <v>107</v>
      </c>
      <c r="H294" s="6">
        <v>25395</v>
      </c>
      <c r="I294" s="0" t="s">
        <v>113</v>
      </c>
      <c r="J294" s="0" t="s">
        <v>42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</row>
    <row r="295" spans="1:23">
      <c r="A295" s="4">
        <v>6892</v>
      </c>
      <c r="B295" s="0" t="s">
        <v>38</v>
      </c>
      <c r="C295" s="0" t="s">
        <v>172</v>
      </c>
      <c r="D295" s="0" t="s">
        <v>51</v>
      </c>
      <c r="E295" s="0" t="s">
        <v>128</v>
      </c>
      <c r="F295" s="6">
        <v>2720</v>
      </c>
      <c r="G295" s="0" t="s">
        <v>52</v>
      </c>
      <c r="H295" s="6">
        <v>24040</v>
      </c>
      <c r="I295" s="0" t="s">
        <v>53</v>
      </c>
      <c r="J295" s="0" t="s">
        <v>42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</row>
    <row r="296" spans="1:23">
      <c r="A296" s="4">
        <v>6892</v>
      </c>
      <c r="B296" s="0" t="s">
        <v>38</v>
      </c>
      <c r="C296" s="0" t="s">
        <v>172</v>
      </c>
      <c r="D296" s="0" t="s">
        <v>55</v>
      </c>
      <c r="E296" s="0" t="s">
        <v>128</v>
      </c>
      <c r="F296" s="6">
        <v>2720</v>
      </c>
      <c r="G296" s="0" t="s">
        <v>52</v>
      </c>
      <c r="H296" s="6">
        <v>31304</v>
      </c>
      <c r="I296" s="0" t="s">
        <v>56</v>
      </c>
      <c r="J296" s="0" t="s">
        <v>42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</row>
    <row r="297" spans="1:23">
      <c r="A297" s="4">
        <v>6892</v>
      </c>
      <c r="B297" s="0" t="s">
        <v>38</v>
      </c>
      <c r="C297" s="0" t="s">
        <v>172</v>
      </c>
      <c r="D297" s="0" t="s">
        <v>55</v>
      </c>
      <c r="E297" s="0" t="s">
        <v>128</v>
      </c>
      <c r="F297" s="6">
        <v>1847</v>
      </c>
      <c r="G297" s="0" t="s">
        <v>57</v>
      </c>
      <c r="H297" s="6">
        <v>25013</v>
      </c>
      <c r="I297" s="0" t="s">
        <v>58</v>
      </c>
      <c r="J297" s="0" t="s">
        <v>42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</row>
    <row r="298" spans="1:23">
      <c r="A298" s="4">
        <v>6892</v>
      </c>
      <c r="B298" s="0" t="s">
        <v>38</v>
      </c>
      <c r="C298" s="0" t="s">
        <v>172</v>
      </c>
      <c r="D298" s="0" t="s">
        <v>79</v>
      </c>
      <c r="E298" s="0" t="s">
        <v>128</v>
      </c>
      <c r="F298" s="6">
        <v>18364</v>
      </c>
      <c r="G298" s="0" t="s">
        <v>91</v>
      </c>
      <c r="H298" s="6">
        <v>30773</v>
      </c>
      <c r="I298" s="0" t="s">
        <v>92</v>
      </c>
      <c r="J298" s="0" t="s">
        <v>71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</row>
    <row r="299" spans="1:23">
      <c r="A299" s="4">
        <v>6892</v>
      </c>
      <c r="B299" s="0" t="s">
        <v>65</v>
      </c>
      <c r="C299" s="0" t="s">
        <v>172</v>
      </c>
      <c r="D299" s="0" t="s">
        <v>18</v>
      </c>
      <c r="E299" s="0" t="s">
        <v>128</v>
      </c>
      <c r="F299" s="6">
        <v>21019</v>
      </c>
      <c r="G299" s="0" t="s">
        <v>148</v>
      </c>
      <c r="H299" s="6">
        <v>35594</v>
      </c>
      <c r="I299" s="0" t="s">
        <v>149</v>
      </c>
      <c r="J299" s="0" t="s">
        <v>87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</row>
    <row r="300" spans="1:23">
      <c r="A300" s="4">
        <v>6892</v>
      </c>
      <c r="B300" s="0" t="s">
        <v>65</v>
      </c>
      <c r="C300" s="0" t="s">
        <v>172</v>
      </c>
      <c r="D300" s="0" t="s">
        <v>23</v>
      </c>
      <c r="E300" s="0" t="s">
        <v>128</v>
      </c>
      <c r="F300" s="6">
        <v>19634</v>
      </c>
      <c r="G300" s="0" t="s">
        <v>136</v>
      </c>
      <c r="H300" s="6">
        <v>33102</v>
      </c>
      <c r="I300" s="0" t="s">
        <v>73</v>
      </c>
      <c r="J300" s="0" t="s">
        <v>71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</row>
    <row r="301" spans="1:23">
      <c r="A301" s="4">
        <v>6892</v>
      </c>
      <c r="B301" s="0" t="s">
        <v>65</v>
      </c>
      <c r="C301" s="0" t="s">
        <v>172</v>
      </c>
      <c r="D301" s="0" t="s">
        <v>39</v>
      </c>
      <c r="E301" s="0" t="s">
        <v>128</v>
      </c>
      <c r="F301" s="6">
        <v>10940</v>
      </c>
      <c r="G301" s="0" t="s">
        <v>45</v>
      </c>
      <c r="H301" s="6">
        <v>39399</v>
      </c>
      <c r="I301" s="0" t="s">
        <v>124</v>
      </c>
      <c r="J301" s="0" t="s">
        <v>125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</row>
    <row r="302" spans="1:23">
      <c r="A302" s="4">
        <v>6892</v>
      </c>
      <c r="B302" s="0" t="s">
        <v>65</v>
      </c>
      <c r="C302" s="0" t="s">
        <v>172</v>
      </c>
      <c r="D302" s="0" t="s">
        <v>30</v>
      </c>
      <c r="E302" s="0" t="s">
        <v>128</v>
      </c>
      <c r="F302" s="6">
        <v>20390</v>
      </c>
      <c r="G302" s="0" t="s">
        <v>164</v>
      </c>
      <c r="H302" s="6">
        <v>34491</v>
      </c>
      <c r="I302" s="0" t="s">
        <v>165</v>
      </c>
      <c r="J302" s="0" t="s">
        <v>166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</row>
    <row r="303" spans="1:23">
      <c r="A303" s="4">
        <v>6892</v>
      </c>
      <c r="B303" s="0" t="s">
        <v>65</v>
      </c>
      <c r="C303" s="0" t="s">
        <v>172</v>
      </c>
      <c r="D303" s="0" t="s">
        <v>30</v>
      </c>
      <c r="E303" s="0" t="s">
        <v>128</v>
      </c>
      <c r="F303" s="6">
        <v>1847</v>
      </c>
      <c r="G303" s="0" t="s">
        <v>57</v>
      </c>
      <c r="H303" s="6">
        <v>29457</v>
      </c>
      <c r="I303" s="0" t="s">
        <v>90</v>
      </c>
      <c r="J303" s="0" t="s">
        <v>42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</row>
    <row r="304" spans="1:23">
      <c r="A304" s="4">
        <v>6892</v>
      </c>
      <c r="B304" s="0" t="s">
        <v>65</v>
      </c>
      <c r="C304" s="0" t="s">
        <v>172</v>
      </c>
      <c r="D304" s="0" t="s">
        <v>30</v>
      </c>
      <c r="E304" s="0" t="s">
        <v>128</v>
      </c>
      <c r="F304" s="6">
        <v>8486</v>
      </c>
      <c r="G304" s="0" t="s">
        <v>107</v>
      </c>
      <c r="H304" s="6">
        <v>36688</v>
      </c>
      <c r="I304" s="0" t="s">
        <v>108</v>
      </c>
      <c r="J304" s="0" t="s">
        <v>42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</row>
    <row r="305" spans="1:23">
      <c r="A305" s="4">
        <v>6892</v>
      </c>
      <c r="B305" s="0" t="s">
        <v>65</v>
      </c>
      <c r="C305" s="0" t="s">
        <v>172</v>
      </c>
      <c r="D305" s="0" t="s">
        <v>30</v>
      </c>
      <c r="E305" s="0" t="s">
        <v>128</v>
      </c>
      <c r="F305" s="6">
        <v>7238</v>
      </c>
      <c r="G305" s="0" t="s">
        <v>94</v>
      </c>
      <c r="H305" s="6">
        <v>37104</v>
      </c>
      <c r="I305" s="0" t="s">
        <v>104</v>
      </c>
      <c r="J305" s="0" t="s">
        <v>42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</row>
    <row r="306" spans="1:23">
      <c r="A306" s="4">
        <v>6892</v>
      </c>
      <c r="B306" s="0" t="s">
        <v>65</v>
      </c>
      <c r="C306" s="0" t="s">
        <v>172</v>
      </c>
      <c r="D306" s="0" t="s">
        <v>30</v>
      </c>
      <c r="E306" s="0" t="s">
        <v>128</v>
      </c>
      <c r="F306" s="6">
        <v>11922</v>
      </c>
      <c r="G306" s="0" t="s">
        <v>137</v>
      </c>
      <c r="H306" s="6">
        <v>22323</v>
      </c>
      <c r="I306" s="0" t="s">
        <v>138</v>
      </c>
      <c r="J306" s="0" t="s">
        <v>42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</row>
    <row r="307" spans="1:23">
      <c r="A307" s="4">
        <v>6892</v>
      </c>
      <c r="B307" s="0" t="s">
        <v>65</v>
      </c>
      <c r="C307" s="0" t="s">
        <v>172</v>
      </c>
      <c r="D307" s="0" t="s">
        <v>34</v>
      </c>
      <c r="E307" s="0" t="s">
        <v>128</v>
      </c>
      <c r="F307" s="6">
        <v>20925</v>
      </c>
      <c r="G307" s="0" t="s">
        <v>35</v>
      </c>
      <c r="H307" s="6">
        <v>35435</v>
      </c>
      <c r="I307" s="0" t="s">
        <v>36</v>
      </c>
      <c r="J307" s="0" t="s">
        <v>37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</row>
    <row r="308" spans="1:23">
      <c r="A308" s="4">
        <v>6892</v>
      </c>
      <c r="B308" s="0" t="s">
        <v>65</v>
      </c>
      <c r="C308" s="0" t="s">
        <v>172</v>
      </c>
      <c r="D308" s="0" t="s">
        <v>55</v>
      </c>
      <c r="E308" s="0" t="s">
        <v>128</v>
      </c>
      <c r="F308" s="6">
        <v>12052</v>
      </c>
      <c r="G308" s="0" t="s">
        <v>146</v>
      </c>
      <c r="H308" s="6">
        <v>26483</v>
      </c>
      <c r="I308" s="0" t="s">
        <v>147</v>
      </c>
      <c r="J308" s="0" t="s">
        <v>42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</row>
    <row r="309" spans="1:23">
      <c r="A309" s="4">
        <v>6892</v>
      </c>
      <c r="B309" s="0" t="s">
        <v>65</v>
      </c>
      <c r="C309" s="0" t="s">
        <v>172</v>
      </c>
      <c r="D309" s="0" t="s">
        <v>59</v>
      </c>
      <c r="E309" s="0" t="s">
        <v>128</v>
      </c>
      <c r="F309" s="6">
        <v>19403</v>
      </c>
      <c r="G309" s="0" t="s">
        <v>151</v>
      </c>
      <c r="H309" s="6">
        <v>32702</v>
      </c>
      <c r="I309" s="0" t="s">
        <v>152</v>
      </c>
      <c r="J309" s="0" t="s">
        <v>153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</row>
    <row r="310" spans="1:23">
      <c r="A310" s="4">
        <v>6892</v>
      </c>
      <c r="B310" s="0" t="s">
        <v>65</v>
      </c>
      <c r="C310" s="0" t="s">
        <v>172</v>
      </c>
      <c r="D310" s="0" t="s">
        <v>63</v>
      </c>
      <c r="E310" s="0" t="s">
        <v>128</v>
      </c>
      <c r="F310" s="6">
        <v>16211</v>
      </c>
      <c r="G310" s="0" t="s">
        <v>76</v>
      </c>
      <c r="H310" s="6">
        <v>38645</v>
      </c>
      <c r="I310" s="0" t="s">
        <v>77</v>
      </c>
      <c r="J310" s="0" t="s">
        <v>78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</row>
    <row r="311" spans="1:23">
      <c r="A311" s="4">
        <v>6892</v>
      </c>
      <c r="B311" s="0" t="s">
        <v>82</v>
      </c>
      <c r="C311" s="0" t="s">
        <v>172</v>
      </c>
      <c r="D311" s="0" t="s">
        <v>18</v>
      </c>
      <c r="E311" s="0" t="s">
        <v>128</v>
      </c>
      <c r="F311" s="6">
        <v>21432</v>
      </c>
      <c r="G311" s="0" t="s">
        <v>69</v>
      </c>
      <c r="H311" s="6">
        <v>36357</v>
      </c>
      <c r="I311" s="0" t="s">
        <v>70</v>
      </c>
      <c r="J311" s="0" t="s">
        <v>71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</row>
    <row r="312" spans="1:23">
      <c r="A312" s="4">
        <v>6892</v>
      </c>
      <c r="B312" s="0" t="s">
        <v>82</v>
      </c>
      <c r="C312" s="0" t="s">
        <v>172</v>
      </c>
      <c r="D312" s="0" t="s">
        <v>23</v>
      </c>
      <c r="E312" s="0" t="s">
        <v>128</v>
      </c>
      <c r="F312" s="6">
        <v>8399</v>
      </c>
      <c r="G312" s="0" t="s">
        <v>88</v>
      </c>
      <c r="H312" s="6">
        <v>20543</v>
      </c>
      <c r="I312" s="0" t="s">
        <v>89</v>
      </c>
      <c r="J312" s="0" t="s">
        <v>87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</row>
    <row r="313" spans="1:23">
      <c r="A313" s="4">
        <v>6892</v>
      </c>
      <c r="B313" s="0" t="s">
        <v>82</v>
      </c>
      <c r="C313" s="0" t="s">
        <v>172</v>
      </c>
      <c r="D313" s="0" t="s">
        <v>117</v>
      </c>
      <c r="E313" s="0" t="s">
        <v>128</v>
      </c>
      <c r="F313" s="6">
        <v>8533</v>
      </c>
      <c r="G313" s="0" t="s">
        <v>141</v>
      </c>
      <c r="H313" s="6">
        <v>35636</v>
      </c>
      <c r="I313" s="0" t="s">
        <v>142</v>
      </c>
      <c r="J313" s="0" t="s">
        <v>74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</row>
    <row r="314" spans="1:23">
      <c r="A314" s="4">
        <v>6892</v>
      </c>
      <c r="B314" s="0" t="s">
        <v>82</v>
      </c>
      <c r="C314" s="0" t="s">
        <v>172</v>
      </c>
      <c r="D314" s="0" t="s">
        <v>30</v>
      </c>
      <c r="E314" s="0" t="s">
        <v>128</v>
      </c>
      <c r="F314" s="6">
        <v>1847</v>
      </c>
      <c r="G314" s="0" t="s">
        <v>57</v>
      </c>
      <c r="H314" s="6">
        <v>33522</v>
      </c>
      <c r="I314" s="0" t="s">
        <v>106</v>
      </c>
      <c r="J314" s="0" t="s">
        <v>42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</row>
    <row r="315" spans="1:23">
      <c r="A315" s="4">
        <v>6892</v>
      </c>
      <c r="B315" s="0" t="s">
        <v>82</v>
      </c>
      <c r="C315" s="0" t="s">
        <v>172</v>
      </c>
      <c r="D315" s="0" t="s">
        <v>34</v>
      </c>
      <c r="E315" s="0" t="s">
        <v>128</v>
      </c>
      <c r="F315" s="6">
        <v>2720</v>
      </c>
      <c r="G315" s="0" t="s">
        <v>52</v>
      </c>
      <c r="H315" s="6">
        <v>32799</v>
      </c>
      <c r="I315" s="0" t="s">
        <v>75</v>
      </c>
      <c r="J315" s="0" t="s">
        <v>42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</row>
    <row r="316" spans="1:23">
      <c r="A316" s="4">
        <v>6892</v>
      </c>
      <c r="B316" s="0" t="s">
        <v>82</v>
      </c>
      <c r="C316" s="0" t="s">
        <v>172</v>
      </c>
      <c r="D316" s="0" t="s">
        <v>34</v>
      </c>
      <c r="E316" s="0" t="s">
        <v>128</v>
      </c>
      <c r="F316" s="6">
        <v>18011</v>
      </c>
      <c r="G316" s="0" t="s">
        <v>126</v>
      </c>
      <c r="H316" s="6">
        <v>30080</v>
      </c>
      <c r="I316" s="0" t="s">
        <v>127</v>
      </c>
      <c r="J316" s="0" t="s">
        <v>37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</row>
    <row r="317" spans="1:23">
      <c r="A317" s="4">
        <v>6892</v>
      </c>
      <c r="B317" s="0" t="s">
        <v>82</v>
      </c>
      <c r="C317" s="0" t="s">
        <v>172</v>
      </c>
      <c r="D317" s="0" t="s">
        <v>63</v>
      </c>
      <c r="E317" s="0" t="s">
        <v>128</v>
      </c>
      <c r="F317" s="6">
        <v>5995</v>
      </c>
      <c r="G317" s="0" t="s">
        <v>169</v>
      </c>
      <c r="H317" s="6">
        <v>38292</v>
      </c>
      <c r="I317" s="0" t="s">
        <v>170</v>
      </c>
      <c r="J317" s="0" t="s">
        <v>171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</row>
    <row r="318" spans="1:23">
      <c r="A318" s="4">
        <v>6892</v>
      </c>
      <c r="B318" s="0" t="s">
        <v>82</v>
      </c>
      <c r="C318" s="0" t="s">
        <v>172</v>
      </c>
      <c r="D318" s="0" t="s">
        <v>79</v>
      </c>
      <c r="E318" s="0" t="s">
        <v>128</v>
      </c>
      <c r="F318" s="6">
        <v>2720</v>
      </c>
      <c r="G318" s="0" t="s">
        <v>52</v>
      </c>
      <c r="H318" s="6">
        <v>33555</v>
      </c>
      <c r="I318" s="0" t="s">
        <v>80</v>
      </c>
      <c r="J318" s="0" t="s">
        <v>81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1"/>
  <sheetViews>
    <sheetView tabSelected="1" workbookViewId="0" showGridLines="true" showRowColHeaders="1">
      <selection activeCell="A9" sqref="A9"/>
    </sheetView>
  </sheetViews>
  <sheetFormatPr defaultRowHeight="14.4" defaultColWidth="9" outlineLevelRow="0" outlineLevelCol="0"/>
  <cols>
    <col min="1" max="1" width="12.08984375" customWidth="true" style="27"/>
    <col min="2" max="2" width="34.6328125" customWidth="true" style="27"/>
    <col min="3" max="3" width="14.1796875" customWidth="true" style="27"/>
    <col min="4" max="4" width="10.36328125" customWidth="true" style="27"/>
    <col min="5" max="5" width="15.81640625" customWidth="true" style="27"/>
    <col min="6" max="6" width="12.90625" customWidth="true" style="27"/>
    <col min="7" max="7" width="8.7265625" customWidth="true" style="27"/>
    <col min="8" max="8" width="13.1796875" customWidth="true" style="27"/>
    <col min="9" max="9" width="14" customWidth="true" style="27"/>
    <col min="10" max="10" width="24.36328125" customWidth="true" style="27"/>
    <col min="11" max="11" width="33.26953125" customWidth="true" style="27"/>
    <col min="12" max="12" width="9" style="27"/>
  </cols>
  <sheetData>
    <row r="1" spans="1:12" customHeight="1" ht="58" s="26" customFormat="1">
      <c r="A1" s="52" t="s">
        <v>173</v>
      </c>
      <c r="B1" s="52" t="s">
        <v>174</v>
      </c>
      <c r="C1" s="52" t="s">
        <v>8</v>
      </c>
      <c r="D1" s="52" t="s">
        <v>175</v>
      </c>
      <c r="E1" s="53" t="s">
        <v>176</v>
      </c>
      <c r="F1" s="54" t="s">
        <v>177</v>
      </c>
      <c r="G1" s="52" t="s">
        <v>178</v>
      </c>
      <c r="H1" s="53" t="s">
        <v>179</v>
      </c>
      <c r="I1" s="52" t="s">
        <v>180</v>
      </c>
      <c r="J1" s="52" t="s">
        <v>181</v>
      </c>
      <c r="K1" s="52" t="s">
        <v>182</v>
      </c>
    </row>
    <row r="2" spans="1:12">
      <c r="A2" s="4">
        <v>12404</v>
      </c>
      <c r="B2" s="4" t="s">
        <v>110</v>
      </c>
      <c r="C2" s="4" t="s">
        <v>111</v>
      </c>
      <c r="D2" s="4">
        <v>39338</v>
      </c>
      <c r="E2" s="55" t="s">
        <v>183</v>
      </c>
      <c r="F2" s="56" t="s">
        <v>184</v>
      </c>
      <c r="G2" s="27" t="s">
        <v>185</v>
      </c>
      <c r="H2" s="55">
        <v>13</v>
      </c>
      <c r="I2" s="4" t="s">
        <v>186</v>
      </c>
      <c r="J2" s="4" t="s">
        <v>57</v>
      </c>
      <c r="K2" s="4"/>
    </row>
    <row r="3" spans="1:12">
      <c r="A3" s="4">
        <v>10940</v>
      </c>
      <c r="B3" s="4" t="s">
        <v>45</v>
      </c>
      <c r="C3" s="4" t="s">
        <v>124</v>
      </c>
      <c r="D3" s="4">
        <v>39399</v>
      </c>
      <c r="E3" s="55" t="s">
        <v>187</v>
      </c>
      <c r="F3" s="56" t="s">
        <v>184</v>
      </c>
      <c r="G3" s="27" t="s">
        <v>188</v>
      </c>
      <c r="H3" s="55">
        <v>20</v>
      </c>
      <c r="I3" s="4" t="s">
        <v>186</v>
      </c>
      <c r="J3" s="4" t="s">
        <v>189</v>
      </c>
      <c r="K3" s="4"/>
    </row>
    <row r="4" spans="1:12">
      <c r="A4" s="4">
        <v>14340</v>
      </c>
      <c r="B4" s="4" t="s">
        <v>28</v>
      </c>
      <c r="C4" s="4" t="s">
        <v>29</v>
      </c>
      <c r="D4" s="4">
        <v>38280</v>
      </c>
      <c r="E4" s="55" t="s">
        <v>190</v>
      </c>
      <c r="F4" s="56" t="s">
        <v>184</v>
      </c>
      <c r="G4" s="27" t="s">
        <v>191</v>
      </c>
      <c r="H4" s="55">
        <v>15.5</v>
      </c>
      <c r="I4" s="4" t="s">
        <v>186</v>
      </c>
      <c r="J4" s="4" t="s">
        <v>189</v>
      </c>
      <c r="K4" s="4"/>
    </row>
    <row r="5" spans="1:12">
      <c r="A5" s="4">
        <v>23026</v>
      </c>
      <c r="B5" s="4" t="s">
        <v>118</v>
      </c>
      <c r="C5" s="4" t="s">
        <v>119</v>
      </c>
      <c r="D5" s="4">
        <v>39415</v>
      </c>
      <c r="E5" s="55" t="s">
        <v>192</v>
      </c>
      <c r="F5" s="56" t="s">
        <v>193</v>
      </c>
      <c r="G5" s="27" t="s">
        <v>194</v>
      </c>
      <c r="H5" s="55">
        <v>17</v>
      </c>
      <c r="I5" s="4" t="s">
        <v>186</v>
      </c>
      <c r="J5" s="4" t="s">
        <v>57</v>
      </c>
      <c r="K5" s="4"/>
    </row>
    <row r="6" spans="1:12">
      <c r="A6" s="4">
        <v>16211</v>
      </c>
      <c r="B6" s="4" t="s">
        <v>76</v>
      </c>
      <c r="C6" s="4" t="s">
        <v>77</v>
      </c>
      <c r="D6" s="4">
        <v>38645</v>
      </c>
      <c r="E6" s="55" t="s">
        <v>195</v>
      </c>
      <c r="F6" s="56" t="s">
        <v>184</v>
      </c>
      <c r="G6" s="27" t="s">
        <v>196</v>
      </c>
      <c r="H6" s="55">
        <v>12</v>
      </c>
      <c r="I6" s="4" t="s">
        <v>186</v>
      </c>
      <c r="J6" s="4" t="s">
        <v>189</v>
      </c>
      <c r="K6" s="4"/>
    </row>
    <row r="7" spans="1:12">
      <c r="A7" s="4"/>
      <c r="B7" s="4"/>
      <c r="C7" s="4"/>
      <c r="D7" s="4"/>
      <c r="E7" s="55"/>
      <c r="F7" s="56"/>
      <c r="G7" s="27"/>
      <c r="H7" s="55"/>
      <c r="I7" s="4"/>
      <c r="J7" s="4"/>
      <c r="K7" s="4"/>
    </row>
    <row r="8" spans="1:12">
      <c r="A8" s="4"/>
      <c r="B8" s="4"/>
      <c r="C8" s="4"/>
      <c r="D8" s="4"/>
      <c r="E8" s="55"/>
      <c r="F8" s="56"/>
      <c r="G8" s="27"/>
      <c r="H8" s="55"/>
      <c r="I8" s="4"/>
      <c r="J8" s="4"/>
      <c r="K8" s="4"/>
    </row>
    <row r="9" spans="1:12">
      <c r="A9" s="4"/>
      <c r="B9" s="4"/>
      <c r="C9" s="4"/>
      <c r="D9" s="4"/>
      <c r="E9" s="55"/>
      <c r="F9" s="56"/>
      <c r="G9" s="27"/>
      <c r="H9" s="55"/>
      <c r="I9" s="4"/>
      <c r="J9" s="4"/>
      <c r="K9" s="4"/>
    </row>
    <row r="10" spans="1:12">
      <c r="A10" s="4"/>
      <c r="B10" s="4"/>
      <c r="C10" s="4"/>
      <c r="D10" s="4"/>
      <c r="E10" s="55"/>
      <c r="F10" s="56"/>
      <c r="G10" s="27"/>
      <c r="H10" s="55"/>
      <c r="I10" s="4"/>
      <c r="J10" s="4"/>
      <c r="K10" s="4"/>
    </row>
    <row r="11" spans="1:12">
      <c r="A11" s="4"/>
      <c r="B11" s="4"/>
      <c r="C11" s="4"/>
      <c r="D11" s="4"/>
      <c r="E11" s="55"/>
      <c r="F11" s="56"/>
      <c r="G11" s="27"/>
      <c r="H11" s="55"/>
      <c r="I11" s="4"/>
      <c r="J11" s="4"/>
      <c r="K11" s="4"/>
    </row>
    <row r="12" spans="1:12">
      <c r="A12" s="4"/>
      <c r="B12" s="4"/>
      <c r="C12" s="4"/>
      <c r="D12" s="4"/>
      <c r="E12" s="55"/>
      <c r="F12" s="56"/>
      <c r="G12" s="27"/>
      <c r="H12" s="55"/>
      <c r="I12" s="4"/>
      <c r="J12" s="4"/>
      <c r="K12" s="4"/>
    </row>
    <row r="13" spans="1:12">
      <c r="A13" s="4"/>
      <c r="B13" s="56" t="s">
        <v>197</v>
      </c>
      <c r="C13" s="56"/>
      <c r="D13" s="56"/>
      <c r="E13" s="57"/>
      <c r="F13" s="4"/>
      <c r="G13" s="27"/>
      <c r="H13" s="55"/>
      <c r="I13" s="4"/>
      <c r="J13" s="4"/>
      <c r="K13" s="4"/>
    </row>
    <row r="14" spans="1:12">
      <c r="A14" s="4"/>
      <c r="B14" s="58" t="s">
        <v>198</v>
      </c>
      <c r="C14" s="59"/>
      <c r="D14" s="59"/>
      <c r="E14" s="60"/>
      <c r="F14" s="4"/>
      <c r="G14" s="27"/>
      <c r="H14" s="55"/>
      <c r="I14" s="4"/>
      <c r="J14" s="4"/>
      <c r="K14" s="4"/>
    </row>
    <row r="15" spans="1:12">
      <c r="A15" s="4"/>
      <c r="B15" s="4"/>
      <c r="C15" s="4"/>
      <c r="D15" s="4"/>
      <c r="E15" s="55"/>
      <c r="F15" s="4"/>
      <c r="G15" s="27"/>
      <c r="H15" s="55"/>
      <c r="I15" s="4"/>
      <c r="J15" s="4"/>
      <c r="K15" s="4"/>
    </row>
    <row r="16" spans="1:12" customHeight="1" ht="29">
      <c r="A16" s="4"/>
      <c r="B16" s="61" t="s">
        <v>199</v>
      </c>
      <c r="C16" s="4"/>
      <c r="D16" s="4"/>
      <c r="E16" s="55"/>
      <c r="F16" s="4"/>
      <c r="G16" s="27"/>
      <c r="H16" s="55"/>
      <c r="I16" s="4"/>
      <c r="J16" s="4"/>
      <c r="K16" s="4"/>
    </row>
    <row r="17" spans="1:12">
      <c r="A17" s="4"/>
      <c r="B17" s="62"/>
      <c r="C17" s="4"/>
      <c r="D17" s="4"/>
      <c r="E17" s="55"/>
      <c r="F17" s="4"/>
      <c r="G17" s="27"/>
      <c r="H17" s="55"/>
      <c r="I17" s="4"/>
      <c r="J17" s="4"/>
      <c r="K17" s="4"/>
    </row>
    <row r="18" spans="1:12">
      <c r="A18" s="4"/>
      <c r="B18" s="61" t="s">
        <v>200</v>
      </c>
      <c r="C18" s="4"/>
      <c r="D18" s="4"/>
      <c r="E18" s="55"/>
      <c r="F18" s="4"/>
      <c r="G18" s="27"/>
      <c r="H18" s="55"/>
      <c r="I18" s="4"/>
      <c r="J18" s="4"/>
      <c r="K18" s="4"/>
    </row>
    <row r="19" spans="1:12">
      <c r="A19" s="4"/>
      <c r="B19" s="61" t="s">
        <v>201</v>
      </c>
      <c r="C19" s="4"/>
      <c r="D19" s="4"/>
      <c r="E19" s="55"/>
      <c r="F19" s="4"/>
      <c r="G19" s="27"/>
      <c r="H19" s="55"/>
      <c r="I19" s="4"/>
      <c r="J19" s="4"/>
      <c r="K19" s="4"/>
    </row>
    <row r="20" spans="1:12" customHeight="1" ht="29">
      <c r="A20" s="4"/>
      <c r="B20" s="61" t="s">
        <v>202</v>
      </c>
      <c r="C20" s="4"/>
      <c r="D20" s="4"/>
      <c r="E20" s="55"/>
      <c r="F20" s="4"/>
      <c r="G20" s="27"/>
      <c r="H20" s="55"/>
      <c r="I20" s="4"/>
      <c r="J20" s="4"/>
      <c r="K20" s="4"/>
    </row>
    <row r="21" spans="1:12" customHeight="1" ht="29">
      <c r="A21" s="4"/>
      <c r="B21" s="61" t="s">
        <v>203</v>
      </c>
      <c r="C21" s="4"/>
      <c r="D21" s="4"/>
      <c r="E21" s="55"/>
      <c r="F21" s="4"/>
      <c r="G21" s="27"/>
      <c r="H21" s="55"/>
      <c r="I21" s="4"/>
      <c r="J21" s="4"/>
      <c r="K21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2" max="2" width="11.1796875" customWidth="true" style="0"/>
    <col min="3" max="3" width="18.08984375" customWidth="true" style="0"/>
    <col min="5" max="5" width="18.26953125" customWidth="true" style="0"/>
    <col min="8" max="8" width="10.6328125" customWidth="true" style="0"/>
    <col min="9" max="9" width="11.36328125" customWidth="true" style="0"/>
    <col min="11" max="11" width="10.54296875" customWidth="true" style="0"/>
    <col min="12" max="12" width="10" customWidth="true" style="0"/>
    <col min="13" max="13" width="11.26953125" customWidth="true" style="0"/>
    <col min="14" max="14" width="12.6328125" customWidth="true" style="0"/>
    <col min="15" max="15" width="11.81640625" customWidth="true" style="0"/>
    <col min="16" max="16" width="12.7265625" customWidth="true" style="0"/>
    <col min="17" max="17" width="10.90625" customWidth="true" style="0"/>
    <col min="18" max="18" width="10.7265625" customWidth="true" style="0"/>
  </cols>
  <sheetData>
    <row r="1" spans="1:18" customHeight="1" ht="20">
      <c r="A1" s="73" t="s">
        <v>204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"/>
    </row>
    <row r="2" spans="1:18" customHeight="1" ht="20">
      <c r="A2" s="73" t="s">
        <v>205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"/>
    </row>
    <row r="3" spans="1:18" customHeight="1" ht="20">
      <c r="A3" s="74" t="s">
        <v>206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"/>
    </row>
    <row r="4" spans="1:18" customHeight="1" ht="20">
      <c r="A4" s="75" t="s">
        <v>207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"/>
    </row>
    <row r="5" spans="1:18" customHeight="1" ht="20">
      <c r="A5" s="75" t="s">
        <v>208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"/>
    </row>
    <row r="6" spans="1:18" customHeight="1" ht="21">
      <c r="A6" s="76" t="s">
        <v>209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8"/>
    </row>
    <row r="7" spans="1:18" customHeight="1" ht="20.5">
      <c r="A7" s="63" t="s">
        <v>210</v>
      </c>
      <c r="B7" s="64"/>
      <c r="C7" s="64"/>
      <c r="D7" s="64"/>
      <c r="E7" s="65"/>
      <c r="F7" s="9"/>
      <c r="G7" s="66" t="s">
        <v>211</v>
      </c>
      <c r="H7" s="67"/>
      <c r="I7" s="68"/>
      <c r="J7" s="10"/>
      <c r="K7" s="69" t="s">
        <v>212</v>
      </c>
      <c r="L7" s="70"/>
      <c r="M7" s="70"/>
      <c r="N7" s="71" t="s">
        <v>213</v>
      </c>
      <c r="O7" s="72"/>
      <c r="P7" s="72"/>
      <c r="Q7" s="72"/>
      <c r="R7" s="11"/>
    </row>
    <row r="8" spans="1:18">
      <c r="A8" s="12" t="s">
        <v>3</v>
      </c>
      <c r="B8" s="13" t="s">
        <v>214</v>
      </c>
      <c r="C8" s="13" t="s">
        <v>215</v>
      </c>
      <c r="D8" s="13" t="s">
        <v>216</v>
      </c>
      <c r="E8" s="14" t="s">
        <v>217</v>
      </c>
      <c r="F8" s="15" t="s">
        <v>10</v>
      </c>
      <c r="G8" s="12" t="s">
        <v>11</v>
      </c>
      <c r="H8" s="13" t="s">
        <v>13</v>
      </c>
      <c r="I8" s="16" t="s">
        <v>218</v>
      </c>
      <c r="J8" s="17" t="s">
        <v>10</v>
      </c>
      <c r="K8" s="12" t="s">
        <v>11</v>
      </c>
      <c r="L8" s="18" t="s">
        <v>219</v>
      </c>
      <c r="M8" s="19" t="s">
        <v>218</v>
      </c>
      <c r="N8" s="20" t="s">
        <v>220</v>
      </c>
      <c r="O8" s="13" t="s">
        <v>221</v>
      </c>
      <c r="P8" s="16" t="s">
        <v>222</v>
      </c>
      <c r="Q8" s="16" t="s">
        <v>14</v>
      </c>
      <c r="R8" s="21" t="s">
        <v>223</v>
      </c>
    </row>
    <row r="9" spans="1:18">
      <c r="A9" s="28" t="s">
        <v>224</v>
      </c>
      <c r="B9" s="29">
        <v>19403</v>
      </c>
      <c r="C9" s="30" t="s">
        <v>151</v>
      </c>
      <c r="D9" s="29">
        <v>32702</v>
      </c>
      <c r="E9" s="31" t="s">
        <v>152</v>
      </c>
      <c r="F9" s="32">
        <v>0</v>
      </c>
      <c r="G9" s="22">
        <v>0</v>
      </c>
      <c r="H9" s="23">
        <v>0</v>
      </c>
      <c r="I9" s="33" t="str">
        <f>SUM(G9:H9)</f>
        <v>0</v>
      </c>
      <c r="J9" s="34">
        <v>0</v>
      </c>
      <c r="K9" s="24">
        <v>0</v>
      </c>
      <c r="L9" s="25">
        <v>0</v>
      </c>
      <c r="M9" s="35" t="str">
        <f>SUM(K9:L9)</f>
        <v>0</v>
      </c>
      <c r="N9" s="36" t="str">
        <f>SUM(G9+K9)</f>
        <v>0</v>
      </c>
      <c r="O9" s="37" t="str">
        <f>SUM(H9+L9)</f>
        <v>0</v>
      </c>
      <c r="P9" s="33" t="str">
        <f>SUM(N9:O9)</f>
        <v>0</v>
      </c>
      <c r="Q9" s="33">
        <v>0</v>
      </c>
      <c r="R9" s="38">
        <v>0</v>
      </c>
    </row>
    <row r="10" spans="1:18">
      <c r="A10" s="38" t="s">
        <v>195</v>
      </c>
      <c r="B10" s="29">
        <v>15260</v>
      </c>
      <c r="C10" s="30" t="s">
        <v>133</v>
      </c>
      <c r="D10" s="29">
        <v>29542</v>
      </c>
      <c r="E10" s="31" t="s">
        <v>134</v>
      </c>
      <c r="F10" s="32">
        <v>0</v>
      </c>
      <c r="G10" s="22">
        <v>0</v>
      </c>
      <c r="H10" s="23">
        <v>0</v>
      </c>
      <c r="I10" s="33" t="str">
        <f>SUM(G10:H10)</f>
        <v>0</v>
      </c>
      <c r="J10" s="34">
        <v>0</v>
      </c>
      <c r="K10" s="24">
        <v>0</v>
      </c>
      <c r="L10" s="25">
        <v>0</v>
      </c>
      <c r="M10" s="35" t="str">
        <f>SUM(K10:L10)</f>
        <v>0</v>
      </c>
      <c r="N10" s="36" t="str">
        <f>SUM(G10+K10)</f>
        <v>0</v>
      </c>
      <c r="O10" s="37" t="str">
        <f>SUM(H10+L10)</f>
        <v>0</v>
      </c>
      <c r="P10" s="33" t="str">
        <f>SUM(N10:O10)</f>
        <v>0</v>
      </c>
      <c r="Q10" s="33">
        <v>0</v>
      </c>
      <c r="R10" s="38">
        <v>0</v>
      </c>
    </row>
    <row r="11" spans="1:18">
      <c r="A11" s="38" t="s">
        <v>195</v>
      </c>
      <c r="B11" s="29">
        <v>16211</v>
      </c>
      <c r="C11" s="30" t="s">
        <v>76</v>
      </c>
      <c r="D11" s="29">
        <v>38645</v>
      </c>
      <c r="E11" s="31" t="s">
        <v>77</v>
      </c>
      <c r="F11" s="32">
        <v>0</v>
      </c>
      <c r="G11" s="22">
        <v>0</v>
      </c>
      <c r="H11" s="23">
        <v>0</v>
      </c>
      <c r="I11" s="33" t="str">
        <f>SUM(G11:H11)</f>
        <v>0</v>
      </c>
      <c r="J11" s="34">
        <v>0</v>
      </c>
      <c r="K11" s="24">
        <v>0</v>
      </c>
      <c r="L11" s="25">
        <v>0</v>
      </c>
      <c r="M11" s="35" t="str">
        <f>SUM(K11:L11)</f>
        <v>0</v>
      </c>
      <c r="N11" s="36" t="str">
        <f>SUM(G11+K11)</f>
        <v>0</v>
      </c>
      <c r="O11" s="37" t="str">
        <f>SUM(H11+L11)</f>
        <v>0</v>
      </c>
      <c r="P11" s="33" t="str">
        <f>SUM(N11:O11)</f>
        <v>0</v>
      </c>
      <c r="Q11" s="33">
        <v>0</v>
      </c>
      <c r="R11" s="38">
        <v>0</v>
      </c>
    </row>
    <row r="12" spans="1:18">
      <c r="A12" s="38" t="s">
        <v>225</v>
      </c>
      <c r="B12" s="29">
        <v>2720</v>
      </c>
      <c r="C12" s="30" t="s">
        <v>52</v>
      </c>
      <c r="D12" s="29">
        <v>33555</v>
      </c>
      <c r="E12" s="31" t="s">
        <v>80</v>
      </c>
      <c r="F12" s="32">
        <v>0</v>
      </c>
      <c r="G12" s="22">
        <v>0</v>
      </c>
      <c r="H12" s="23">
        <v>0</v>
      </c>
      <c r="I12" s="33" t="str">
        <f>SUM(G12:H12)</f>
        <v>0</v>
      </c>
      <c r="J12" s="34">
        <v>0</v>
      </c>
      <c r="K12" s="24">
        <v>0</v>
      </c>
      <c r="L12" s="25">
        <v>0</v>
      </c>
      <c r="M12" s="35" t="str">
        <f>SUM(K12:L12)</f>
        <v>0</v>
      </c>
      <c r="N12" s="36" t="str">
        <f>SUM(G12+K12)</f>
        <v>0</v>
      </c>
      <c r="O12" s="37" t="str">
        <f>SUM(H12+L12)</f>
        <v>0</v>
      </c>
      <c r="P12" s="33" t="str">
        <f>SUM(N12:O12)</f>
        <v>0</v>
      </c>
      <c r="Q12" s="33">
        <v>0</v>
      </c>
      <c r="R12" s="38">
        <v>0</v>
      </c>
    </row>
    <row r="13" spans="1:18">
      <c r="A13" s="38" t="s">
        <v>225</v>
      </c>
      <c r="B13" s="29">
        <v>18364</v>
      </c>
      <c r="C13" s="30" t="s">
        <v>91</v>
      </c>
      <c r="D13" s="29">
        <v>30773</v>
      </c>
      <c r="E13" s="31" t="s">
        <v>92</v>
      </c>
      <c r="F13" s="32">
        <v>0</v>
      </c>
      <c r="G13" s="22">
        <v>0</v>
      </c>
      <c r="H13" s="23">
        <v>0</v>
      </c>
      <c r="I13" s="33" t="str">
        <f>SUM(G13:H13)</f>
        <v>0</v>
      </c>
      <c r="J13" s="34">
        <v>0</v>
      </c>
      <c r="K13" s="24">
        <v>0</v>
      </c>
      <c r="L13" s="25">
        <v>0</v>
      </c>
      <c r="M13" s="35" t="str">
        <f>SUM(K13:L13)</f>
        <v>0</v>
      </c>
      <c r="N13" s="36" t="str">
        <f>SUM(G13+K13)</f>
        <v>0</v>
      </c>
      <c r="O13" s="37" t="str">
        <f>SUM(H13+L13)</f>
        <v>0</v>
      </c>
      <c r="P13" s="33" t="str">
        <f>SUM(N13:O13)</f>
        <v>0</v>
      </c>
      <c r="Q13" s="33">
        <v>0</v>
      </c>
      <c r="R13" s="38">
        <v>0</v>
      </c>
    </row>
    <row r="14" spans="1:18">
      <c r="A14" s="38" t="s">
        <v>183</v>
      </c>
      <c r="B14" s="29">
        <v>8400</v>
      </c>
      <c r="C14" s="30" t="s">
        <v>85</v>
      </c>
      <c r="D14" s="29">
        <v>22845</v>
      </c>
      <c r="E14" s="31" t="s">
        <v>86</v>
      </c>
      <c r="F14" s="32">
        <v>0</v>
      </c>
      <c r="G14" s="22">
        <v>0</v>
      </c>
      <c r="H14" s="23">
        <v>0</v>
      </c>
      <c r="I14" s="33" t="str">
        <f>SUM(G14:H14)</f>
        <v>0</v>
      </c>
      <c r="J14" s="34">
        <v>0</v>
      </c>
      <c r="K14" s="24">
        <v>0</v>
      </c>
      <c r="L14" s="25">
        <v>0</v>
      </c>
      <c r="M14" s="35" t="str">
        <f>SUM(K14:L14)</f>
        <v>0</v>
      </c>
      <c r="N14" s="36" t="str">
        <f>SUM(G14+K14)</f>
        <v>0</v>
      </c>
      <c r="O14" s="37" t="str">
        <f>SUM(H14+L14)</f>
        <v>0</v>
      </c>
      <c r="P14" s="33" t="str">
        <f>SUM(N14:O14)</f>
        <v>0</v>
      </c>
      <c r="Q14" s="33">
        <v>0</v>
      </c>
      <c r="R14" s="38">
        <v>0</v>
      </c>
    </row>
    <row r="15" spans="1:18">
      <c r="A15" s="38" t="s">
        <v>183</v>
      </c>
      <c r="B15" s="29">
        <v>21019</v>
      </c>
      <c r="C15" s="30" t="s">
        <v>148</v>
      </c>
      <c r="D15" s="29">
        <v>35594</v>
      </c>
      <c r="E15" s="31" t="s">
        <v>149</v>
      </c>
      <c r="F15" s="32">
        <v>0</v>
      </c>
      <c r="G15" s="22">
        <v>0</v>
      </c>
      <c r="H15" s="23">
        <v>0</v>
      </c>
      <c r="I15" s="33" t="str">
        <f>SUM(G15:H15)</f>
        <v>0</v>
      </c>
      <c r="J15" s="34">
        <v>0</v>
      </c>
      <c r="K15" s="24">
        <v>0</v>
      </c>
      <c r="L15" s="25">
        <v>0</v>
      </c>
      <c r="M15" s="35" t="str">
        <f>SUM(K15:L15)</f>
        <v>0</v>
      </c>
      <c r="N15" s="36" t="str">
        <f>SUM(G15+K15)</f>
        <v>0</v>
      </c>
      <c r="O15" s="37" t="str">
        <f>SUM(H15+L15)</f>
        <v>0</v>
      </c>
      <c r="P15" s="33" t="str">
        <f>SUM(N15:O15)</f>
        <v>0</v>
      </c>
      <c r="Q15" s="33">
        <v>0</v>
      </c>
      <c r="R15" s="38">
        <v>0</v>
      </c>
    </row>
    <row r="16" spans="1:18">
      <c r="A16" s="38" t="s">
        <v>183</v>
      </c>
      <c r="B16" s="29">
        <v>11922</v>
      </c>
      <c r="C16" s="30" t="s">
        <v>137</v>
      </c>
      <c r="D16" s="29">
        <v>32459</v>
      </c>
      <c r="E16" s="31" t="s">
        <v>150</v>
      </c>
      <c r="F16" s="32">
        <v>0</v>
      </c>
      <c r="G16" s="22">
        <v>0</v>
      </c>
      <c r="H16" s="23">
        <v>0</v>
      </c>
      <c r="I16" s="33" t="str">
        <f>SUM(G16:H16)</f>
        <v>0</v>
      </c>
      <c r="J16" s="34">
        <v>0</v>
      </c>
      <c r="K16" s="24">
        <v>0</v>
      </c>
      <c r="L16" s="25">
        <v>0</v>
      </c>
      <c r="M16" s="35" t="str">
        <f>SUM(K16:L16)</f>
        <v>0</v>
      </c>
      <c r="N16" s="36" t="str">
        <f>SUM(G16+K16)</f>
        <v>0</v>
      </c>
      <c r="O16" s="37" t="str">
        <f>SUM(H16+L16)</f>
        <v>0</v>
      </c>
      <c r="P16" s="33" t="str">
        <f>SUM(N16:O16)</f>
        <v>0</v>
      </c>
      <c r="Q16" s="33">
        <v>0</v>
      </c>
      <c r="R16" s="38">
        <v>0</v>
      </c>
    </row>
    <row r="17" spans="1:18" customHeight="1" ht="15.5">
      <c r="A17" s="38" t="s">
        <v>183</v>
      </c>
      <c r="B17" s="39">
        <v>21432</v>
      </c>
      <c r="C17" s="37" t="s">
        <v>69</v>
      </c>
      <c r="D17" s="39">
        <v>36357</v>
      </c>
      <c r="E17" s="35" t="s">
        <v>70</v>
      </c>
      <c r="F17" s="40">
        <v>0</v>
      </c>
      <c r="G17" s="41">
        <v>0</v>
      </c>
      <c r="H17" s="37">
        <v>0</v>
      </c>
      <c r="I17" s="33" t="str">
        <f>SUM(G17:H17)</f>
        <v>0</v>
      </c>
      <c r="J17" s="34">
        <v>0</v>
      </c>
      <c r="K17" s="41">
        <v>0</v>
      </c>
      <c r="L17" s="42">
        <v>0</v>
      </c>
      <c r="M17" s="35" t="str">
        <f>SUM(K17:L17)</f>
        <v>0</v>
      </c>
      <c r="N17" s="36" t="str">
        <f>SUM(G17+K17)</f>
        <v>0</v>
      </c>
      <c r="O17" s="37" t="str">
        <f>SUM(H17+L17)</f>
        <v>0</v>
      </c>
      <c r="P17" s="33" t="str">
        <f>SUM(N17:O17)</f>
        <v>0</v>
      </c>
      <c r="Q17" s="43">
        <v>0</v>
      </c>
      <c r="R17" s="44">
        <v>0</v>
      </c>
    </row>
    <row r="18" spans="1:18" customHeight="1" ht="15.5">
      <c r="A18" s="38" t="s">
        <v>190</v>
      </c>
      <c r="B18" s="39">
        <v>10423</v>
      </c>
      <c r="C18" s="37" t="s">
        <v>100</v>
      </c>
      <c r="D18" s="39">
        <v>20982</v>
      </c>
      <c r="E18" s="35" t="s">
        <v>101</v>
      </c>
      <c r="F18" s="40">
        <v>0</v>
      </c>
      <c r="G18" s="41">
        <v>0</v>
      </c>
      <c r="H18" s="37">
        <v>0</v>
      </c>
      <c r="I18" s="33" t="str">
        <f>SUM(G18:H18)</f>
        <v>0</v>
      </c>
      <c r="J18" s="34">
        <v>0</v>
      </c>
      <c r="K18" s="41">
        <v>0</v>
      </c>
      <c r="L18" s="42">
        <v>0</v>
      </c>
      <c r="M18" s="35" t="str">
        <f>SUM(K18:L18)</f>
        <v>0</v>
      </c>
      <c r="N18" s="36" t="str">
        <f>SUM(G18+K18)</f>
        <v>0</v>
      </c>
      <c r="O18" s="37" t="str">
        <f>SUM(H18+L18)</f>
        <v>0</v>
      </c>
      <c r="P18" s="33" t="str">
        <f>SUM(N18:O18)</f>
        <v>0</v>
      </c>
      <c r="Q18" s="43">
        <v>0</v>
      </c>
      <c r="R18" s="44">
        <v>0</v>
      </c>
    </row>
    <row r="19" spans="1:18" customHeight="1" ht="15.5">
      <c r="A19" s="38" t="s">
        <v>192</v>
      </c>
      <c r="B19" s="39">
        <v>8533</v>
      </c>
      <c r="C19" s="37" t="s">
        <v>141</v>
      </c>
      <c r="D19" s="39">
        <v>35636</v>
      </c>
      <c r="E19" s="35" t="s">
        <v>142</v>
      </c>
      <c r="F19" s="40">
        <v>0</v>
      </c>
      <c r="G19" s="41">
        <v>0</v>
      </c>
      <c r="H19" s="37">
        <v>0</v>
      </c>
      <c r="I19" s="33" t="str">
        <f>SUM(G19:H19)</f>
        <v>0</v>
      </c>
      <c r="J19" s="34">
        <v>0</v>
      </c>
      <c r="K19" s="41">
        <v>0</v>
      </c>
      <c r="L19" s="42">
        <v>0</v>
      </c>
      <c r="M19" s="35" t="str">
        <f>SUM(K19:L19)</f>
        <v>0</v>
      </c>
      <c r="N19" s="36" t="str">
        <f>SUM(G19+K19)</f>
        <v>0</v>
      </c>
      <c r="O19" s="37" t="str">
        <f>SUM(H19+L19)</f>
        <v>0</v>
      </c>
      <c r="P19" s="33" t="str">
        <f>SUM(N19:O19)</f>
        <v>0</v>
      </c>
      <c r="Q19" s="43">
        <v>0</v>
      </c>
      <c r="R19" s="44">
        <v>0</v>
      </c>
    </row>
    <row r="20" spans="1:18" customHeight="1" ht="15.5">
      <c r="A20" s="38" t="s">
        <v>192</v>
      </c>
      <c r="B20" s="39">
        <v>8659</v>
      </c>
      <c r="C20" s="37" t="s">
        <v>155</v>
      </c>
      <c r="D20" s="39">
        <v>32403</v>
      </c>
      <c r="E20" s="35" t="s">
        <v>156</v>
      </c>
      <c r="F20" s="40">
        <v>0</v>
      </c>
      <c r="G20" s="41">
        <v>0</v>
      </c>
      <c r="H20" s="37">
        <v>0</v>
      </c>
      <c r="I20" s="33" t="str">
        <f>SUM(G20:H20)</f>
        <v>0</v>
      </c>
      <c r="J20" s="34">
        <v>0</v>
      </c>
      <c r="K20" s="41">
        <v>0</v>
      </c>
      <c r="L20" s="42">
        <v>0</v>
      </c>
      <c r="M20" s="35" t="str">
        <f>SUM(K20:L20)</f>
        <v>0</v>
      </c>
      <c r="N20" s="36" t="str">
        <f>SUM(G20+K20)</f>
        <v>0</v>
      </c>
      <c r="O20" s="37" t="str">
        <f>SUM(H20+L20)</f>
        <v>0</v>
      </c>
      <c r="P20" s="33" t="str">
        <f>SUM(N20:O20)</f>
        <v>0</v>
      </c>
      <c r="Q20" s="43">
        <v>0</v>
      </c>
      <c r="R20" s="44">
        <v>0</v>
      </c>
    </row>
    <row r="21" spans="1:18" customHeight="1" ht="15.5">
      <c r="A21" s="38" t="s">
        <v>226</v>
      </c>
      <c r="B21" s="39">
        <v>7238</v>
      </c>
      <c r="C21" s="37" t="s">
        <v>94</v>
      </c>
      <c r="D21" s="39">
        <v>32353</v>
      </c>
      <c r="E21" s="35" t="s">
        <v>96</v>
      </c>
      <c r="F21" s="40">
        <v>0</v>
      </c>
      <c r="G21" s="41">
        <v>0</v>
      </c>
      <c r="H21" s="37">
        <v>0</v>
      </c>
      <c r="I21" s="33" t="str">
        <f>SUM(G21:H21)</f>
        <v>0</v>
      </c>
      <c r="J21" s="34">
        <v>0</v>
      </c>
      <c r="K21" s="41">
        <v>0</v>
      </c>
      <c r="L21" s="42">
        <v>0</v>
      </c>
      <c r="M21" s="35" t="str">
        <f>SUM(K21:L21)</f>
        <v>0</v>
      </c>
      <c r="N21" s="36" t="str">
        <f>SUM(G21+K21)</f>
        <v>0</v>
      </c>
      <c r="O21" s="37" t="str">
        <f>SUM(H21+L21)</f>
        <v>0</v>
      </c>
      <c r="P21" s="33" t="str">
        <f>SUM(N21:O21)</f>
        <v>0</v>
      </c>
      <c r="Q21" s="43">
        <v>0</v>
      </c>
      <c r="R21" s="44">
        <v>0</v>
      </c>
    </row>
    <row r="22" spans="1:18" customHeight="1" ht="15.5">
      <c r="A22" s="38" t="s">
        <v>226</v>
      </c>
      <c r="B22" s="39">
        <v>10940</v>
      </c>
      <c r="C22" s="37" t="s">
        <v>45</v>
      </c>
      <c r="D22" s="39">
        <v>24142</v>
      </c>
      <c r="E22" s="35" t="s">
        <v>46</v>
      </c>
      <c r="F22" s="40">
        <v>0</v>
      </c>
      <c r="G22" s="41">
        <v>0</v>
      </c>
      <c r="H22" s="37">
        <v>0</v>
      </c>
      <c r="I22" s="33" t="str">
        <f>SUM(G22:H22)</f>
        <v>0</v>
      </c>
      <c r="J22" s="34">
        <v>0</v>
      </c>
      <c r="K22" s="41">
        <v>0</v>
      </c>
      <c r="L22" s="42">
        <v>0</v>
      </c>
      <c r="M22" s="35" t="str">
        <f>SUM(K22:L22)</f>
        <v>0</v>
      </c>
      <c r="N22" s="36" t="str">
        <f>SUM(G22+K22)</f>
        <v>0</v>
      </c>
      <c r="O22" s="37" t="str">
        <f>SUM(H22+L22)</f>
        <v>0</v>
      </c>
      <c r="P22" s="33" t="str">
        <f>SUM(N22:O22)</f>
        <v>0</v>
      </c>
      <c r="Q22" s="43">
        <v>0</v>
      </c>
      <c r="R22" s="44">
        <v>0</v>
      </c>
    </row>
    <row r="23" spans="1:18" customHeight="1" ht="15.5">
      <c r="A23" s="44" t="s">
        <v>226</v>
      </c>
      <c r="B23" s="39">
        <v>10709</v>
      </c>
      <c r="C23" s="37" t="s">
        <v>131</v>
      </c>
      <c r="D23" s="39">
        <v>22107</v>
      </c>
      <c r="E23" s="35" t="s">
        <v>132</v>
      </c>
      <c r="F23" s="40">
        <v>0</v>
      </c>
      <c r="G23" s="41">
        <v>0</v>
      </c>
      <c r="H23" s="37">
        <v>0</v>
      </c>
      <c r="I23" s="33" t="str">
        <f>SUM(G23:H23)</f>
        <v>0</v>
      </c>
      <c r="J23" s="34">
        <v>0</v>
      </c>
      <c r="K23" s="41">
        <v>0</v>
      </c>
      <c r="L23" s="42">
        <v>0</v>
      </c>
      <c r="M23" s="35" t="str">
        <f>SUM(K23:L23)</f>
        <v>0</v>
      </c>
      <c r="N23" s="36" t="str">
        <f>SUM(G23+K23)</f>
        <v>0</v>
      </c>
      <c r="O23" s="37" t="str">
        <f>SUM(H23+L23)</f>
        <v>0</v>
      </c>
      <c r="P23" s="33" t="str">
        <f>SUM(N23:O23)</f>
        <v>0</v>
      </c>
      <c r="Q23" s="43">
        <v>0</v>
      </c>
      <c r="R23" s="44">
        <v>0</v>
      </c>
    </row>
    <row r="24" spans="1:18" customHeight="1" ht="15.5">
      <c r="A24" s="44" t="s">
        <v>226</v>
      </c>
      <c r="B24" s="39">
        <v>1847</v>
      </c>
      <c r="C24" s="37" t="s">
        <v>57</v>
      </c>
      <c r="D24" s="39">
        <v>29457</v>
      </c>
      <c r="E24" s="35" t="s">
        <v>90</v>
      </c>
      <c r="F24" s="40">
        <v>0</v>
      </c>
      <c r="G24" s="41">
        <v>0</v>
      </c>
      <c r="H24" s="37">
        <v>0</v>
      </c>
      <c r="I24" s="33" t="str">
        <f>SUM(G24:H24)</f>
        <v>0</v>
      </c>
      <c r="J24" s="34">
        <v>0</v>
      </c>
      <c r="K24" s="41">
        <v>0</v>
      </c>
      <c r="L24" s="42">
        <v>0</v>
      </c>
      <c r="M24" s="35" t="str">
        <f>SUM(K24:L24)</f>
        <v>0</v>
      </c>
      <c r="N24" s="36" t="str">
        <f>SUM(G24+K24)</f>
        <v>0</v>
      </c>
      <c r="O24" s="37" t="str">
        <f>SUM(H24+L24)</f>
        <v>0</v>
      </c>
      <c r="P24" s="33" t="str">
        <f>SUM(N24:O24)</f>
        <v>0</v>
      </c>
      <c r="Q24" s="43">
        <v>0</v>
      </c>
      <c r="R24" s="44">
        <v>0</v>
      </c>
    </row>
    <row r="25" spans="1:18" customHeight="1" ht="15.5">
      <c r="A25" s="44" t="s">
        <v>226</v>
      </c>
      <c r="B25" s="39">
        <v>1847</v>
      </c>
      <c r="C25" s="37" t="s">
        <v>57</v>
      </c>
      <c r="D25" s="39">
        <v>33522</v>
      </c>
      <c r="E25" s="35" t="s">
        <v>106</v>
      </c>
      <c r="F25" s="40">
        <v>0</v>
      </c>
      <c r="G25" s="41">
        <v>0</v>
      </c>
      <c r="H25" s="37">
        <v>0</v>
      </c>
      <c r="I25" s="33" t="str">
        <f>SUM(G25:H25)</f>
        <v>0</v>
      </c>
      <c r="J25" s="34">
        <v>0</v>
      </c>
      <c r="K25" s="41">
        <v>0</v>
      </c>
      <c r="L25" s="42">
        <v>0</v>
      </c>
      <c r="M25" s="35" t="str">
        <f>SUM(K25:L25)</f>
        <v>0</v>
      </c>
      <c r="N25" s="36" t="str">
        <f>SUM(G25+K25)</f>
        <v>0</v>
      </c>
      <c r="O25" s="37" t="str">
        <f>SUM(H25+L25)</f>
        <v>0</v>
      </c>
      <c r="P25" s="33" t="str">
        <f>SUM(N25:O25)</f>
        <v>0</v>
      </c>
      <c r="Q25" s="43">
        <v>0</v>
      </c>
      <c r="R25" s="44">
        <v>0</v>
      </c>
    </row>
    <row r="26" spans="1:18" customHeight="1" ht="15.5">
      <c r="A26" s="44" t="s">
        <v>227</v>
      </c>
      <c r="B26" s="39">
        <v>2724</v>
      </c>
      <c r="C26" s="37" t="s">
        <v>47</v>
      </c>
      <c r="D26" s="39">
        <v>20545</v>
      </c>
      <c r="E26" s="35" t="s">
        <v>48</v>
      </c>
      <c r="F26" s="40">
        <v>0</v>
      </c>
      <c r="G26" s="41">
        <v>0</v>
      </c>
      <c r="H26" s="37">
        <v>0</v>
      </c>
      <c r="I26" s="33" t="str">
        <f>SUM(G26:H26)</f>
        <v>0</v>
      </c>
      <c r="J26" s="34">
        <v>0</v>
      </c>
      <c r="K26" s="41">
        <v>0</v>
      </c>
      <c r="L26" s="42">
        <v>0</v>
      </c>
      <c r="M26" s="35" t="str">
        <f>SUM(K26:L26)</f>
        <v>0</v>
      </c>
      <c r="N26" s="36" t="str">
        <f>SUM(G26+K26)</f>
        <v>0</v>
      </c>
      <c r="O26" s="37" t="str">
        <f>SUM(H26+L26)</f>
        <v>0</v>
      </c>
      <c r="P26" s="33" t="str">
        <f>SUM(N26:O26)</f>
        <v>0</v>
      </c>
      <c r="Q26" s="43">
        <v>0</v>
      </c>
      <c r="R26" s="44">
        <v>0</v>
      </c>
    </row>
    <row r="27" spans="1:18" customHeight="1" ht="15.5">
      <c r="A27" s="44" t="s">
        <v>227</v>
      </c>
      <c r="B27" s="39">
        <v>2720</v>
      </c>
      <c r="C27" s="37" t="s">
        <v>52</v>
      </c>
      <c r="D27" s="39">
        <v>32799</v>
      </c>
      <c r="E27" s="35" t="s">
        <v>75</v>
      </c>
      <c r="F27" s="40">
        <v>0</v>
      </c>
      <c r="G27" s="41">
        <v>0</v>
      </c>
      <c r="H27" s="37">
        <v>0</v>
      </c>
      <c r="I27" s="33" t="str">
        <f>SUM(G27:H27)</f>
        <v>0</v>
      </c>
      <c r="J27" s="34">
        <v>0</v>
      </c>
      <c r="K27" s="41">
        <v>0</v>
      </c>
      <c r="L27" s="42">
        <v>0</v>
      </c>
      <c r="M27" s="35" t="str">
        <f>SUM(K27:L27)</f>
        <v>0</v>
      </c>
      <c r="N27" s="36" t="str">
        <f>SUM(G27+K27)</f>
        <v>0</v>
      </c>
      <c r="O27" s="37" t="str">
        <f>SUM(H27+L27)</f>
        <v>0</v>
      </c>
      <c r="P27" s="33" t="str">
        <f>SUM(N27:O27)</f>
        <v>0</v>
      </c>
      <c r="Q27" s="43">
        <v>0</v>
      </c>
      <c r="R27" s="44">
        <v>0</v>
      </c>
    </row>
    <row r="28" spans="1:18" customHeight="1" ht="15.5">
      <c r="A28" s="44" t="s">
        <v>228</v>
      </c>
      <c r="B28" s="39">
        <v>10423</v>
      </c>
      <c r="C28" s="37" t="s">
        <v>100</v>
      </c>
      <c r="D28" s="39">
        <v>25420</v>
      </c>
      <c r="E28" s="35" t="s">
        <v>103</v>
      </c>
      <c r="F28" s="40">
        <v>0</v>
      </c>
      <c r="G28" s="41">
        <v>0</v>
      </c>
      <c r="H28" s="37">
        <v>0</v>
      </c>
      <c r="I28" s="33" t="str">
        <f>SUM(G28:H28)</f>
        <v>0</v>
      </c>
      <c r="J28" s="34">
        <v>0</v>
      </c>
      <c r="K28" s="41">
        <v>0</v>
      </c>
      <c r="L28" s="42">
        <v>0</v>
      </c>
      <c r="M28" s="35" t="str">
        <f>SUM(K28:L28)</f>
        <v>0</v>
      </c>
      <c r="N28" s="36" t="str">
        <f>SUM(G28+K28)</f>
        <v>0</v>
      </c>
      <c r="O28" s="37" t="str">
        <f>SUM(H28+L28)</f>
        <v>0</v>
      </c>
      <c r="P28" s="33" t="str">
        <f>SUM(N28:O28)</f>
        <v>0</v>
      </c>
      <c r="Q28" s="43">
        <v>0</v>
      </c>
      <c r="R28" s="44">
        <v>0</v>
      </c>
    </row>
    <row r="29" spans="1:18" customHeight="1" ht="15.5">
      <c r="A29" s="44" t="s">
        <v>228</v>
      </c>
      <c r="B29" s="39">
        <v>16042</v>
      </c>
      <c r="C29" s="37" t="s">
        <v>143</v>
      </c>
      <c r="D29" s="39">
        <v>26609</v>
      </c>
      <c r="E29" s="35" t="s">
        <v>144</v>
      </c>
      <c r="F29" s="40">
        <v>0</v>
      </c>
      <c r="G29" s="41">
        <v>0</v>
      </c>
      <c r="H29" s="37">
        <v>0</v>
      </c>
      <c r="I29" s="33" t="str">
        <f>SUM(G29:H29)</f>
        <v>0</v>
      </c>
      <c r="J29" s="34">
        <v>0</v>
      </c>
      <c r="K29" s="41">
        <v>0</v>
      </c>
      <c r="L29" s="42">
        <v>0</v>
      </c>
      <c r="M29" s="35" t="str">
        <f>SUM(K29:L29)</f>
        <v>0</v>
      </c>
      <c r="N29" s="36" t="str">
        <f>SUM(G29+K29)</f>
        <v>0</v>
      </c>
      <c r="O29" s="37" t="str">
        <f>SUM(H29+L29)</f>
        <v>0</v>
      </c>
      <c r="P29" s="33" t="str">
        <f>SUM(N29:O29)</f>
        <v>0</v>
      </c>
      <c r="Q29" s="43">
        <v>0</v>
      </c>
      <c r="R29" s="44">
        <v>0</v>
      </c>
    </row>
    <row r="30" spans="1:18" customHeight="1" ht="15.5">
      <c r="A30" s="44" t="s">
        <v>228</v>
      </c>
      <c r="B30" s="39">
        <v>3312</v>
      </c>
      <c r="C30" s="37" t="s">
        <v>40</v>
      </c>
      <c r="D30" s="39">
        <v>24750</v>
      </c>
      <c r="E30" s="35" t="s">
        <v>98</v>
      </c>
      <c r="F30" s="40">
        <v>0</v>
      </c>
      <c r="G30" s="41">
        <v>0</v>
      </c>
      <c r="H30" s="37">
        <v>0</v>
      </c>
      <c r="I30" s="33" t="str">
        <f>SUM(G30:H30)</f>
        <v>0</v>
      </c>
      <c r="J30" s="34">
        <v>0</v>
      </c>
      <c r="K30" s="41">
        <v>0</v>
      </c>
      <c r="L30" s="42">
        <v>0</v>
      </c>
      <c r="M30" s="35" t="str">
        <f>SUM(K30:L30)</f>
        <v>0</v>
      </c>
      <c r="N30" s="36" t="str">
        <f>SUM(G30+K30)</f>
        <v>0</v>
      </c>
      <c r="O30" s="37" t="str">
        <f>SUM(H30+L30)</f>
        <v>0</v>
      </c>
      <c r="P30" s="33" t="str">
        <f>SUM(N30:O30)</f>
        <v>0</v>
      </c>
      <c r="Q30" s="43">
        <v>0</v>
      </c>
      <c r="R30" s="44">
        <v>0</v>
      </c>
    </row>
    <row r="31" spans="1:18" customHeight="1" ht="15.5">
      <c r="A31" s="38" t="s">
        <v>229</v>
      </c>
      <c r="B31" s="39">
        <v>4241</v>
      </c>
      <c r="C31" s="37" t="s">
        <v>139</v>
      </c>
      <c r="D31" s="39">
        <v>37742</v>
      </c>
      <c r="E31" s="35" t="s">
        <v>140</v>
      </c>
      <c r="F31" s="40">
        <v>0</v>
      </c>
      <c r="G31" s="41">
        <v>0</v>
      </c>
      <c r="H31" s="37">
        <v>0</v>
      </c>
      <c r="I31" s="33" t="str">
        <f>SUM(G31:H31)</f>
        <v>0</v>
      </c>
      <c r="J31" s="34">
        <v>0</v>
      </c>
      <c r="K31" s="41">
        <v>0</v>
      </c>
      <c r="L31" s="42">
        <v>0</v>
      </c>
      <c r="M31" s="35" t="str">
        <f>SUM(K31:L31)</f>
        <v>0</v>
      </c>
      <c r="N31" s="36" t="str">
        <f>SUM(G31+K31)</f>
        <v>0</v>
      </c>
      <c r="O31" s="37" t="str">
        <f>SUM(H31+L31)</f>
        <v>0</v>
      </c>
      <c r="P31" s="33" t="str">
        <f>SUM(N31:O31)</f>
        <v>0</v>
      </c>
      <c r="Q31" s="43">
        <v>0</v>
      </c>
      <c r="R31" s="44">
        <v>0</v>
      </c>
    </row>
    <row r="32" spans="1:18" customHeight="1" ht="15.5">
      <c r="A32" s="44" t="s">
        <v>229</v>
      </c>
      <c r="B32" s="39">
        <v>1847</v>
      </c>
      <c r="C32" s="37" t="s">
        <v>57</v>
      </c>
      <c r="D32" s="39">
        <v>25013</v>
      </c>
      <c r="E32" s="35" t="s">
        <v>58</v>
      </c>
      <c r="F32" s="40">
        <v>0</v>
      </c>
      <c r="G32" s="41">
        <v>0</v>
      </c>
      <c r="H32" s="37">
        <v>0</v>
      </c>
      <c r="I32" s="33" t="str">
        <f>SUM(G32:H32)</f>
        <v>0</v>
      </c>
      <c r="J32" s="34">
        <v>0</v>
      </c>
      <c r="K32" s="41">
        <v>0</v>
      </c>
      <c r="L32" s="42">
        <v>0</v>
      </c>
      <c r="M32" s="35" t="str">
        <f>SUM(K32:L32)</f>
        <v>0</v>
      </c>
      <c r="N32" s="36" t="str">
        <f>SUM(G32+K32)</f>
        <v>0</v>
      </c>
      <c r="O32" s="37" t="str">
        <f>SUM(H32+L32)</f>
        <v>0</v>
      </c>
      <c r="P32" s="33" t="str">
        <f>SUM(N32:O32)</f>
        <v>0</v>
      </c>
      <c r="Q32" s="43">
        <v>0</v>
      </c>
      <c r="R32" s="44">
        <v>0</v>
      </c>
    </row>
    <row r="33" spans="1:18" customHeight="1" ht="15.5">
      <c r="A33" s="44"/>
      <c r="B33" s="39"/>
      <c r="C33" s="37"/>
      <c r="D33" s="39"/>
      <c r="E33" s="35"/>
      <c r="F33" s="40"/>
      <c r="G33" s="41"/>
      <c r="H33" s="37"/>
      <c r="I33" s="33" t="str">
        <f>SUM(G33:H33)</f>
        <v>0</v>
      </c>
      <c r="J33" s="34"/>
      <c r="K33" s="41"/>
      <c r="L33" s="42"/>
      <c r="M33" s="35" t="str">
        <f>SUM(K33:L33)</f>
        <v>0</v>
      </c>
      <c r="N33" s="36" t="str">
        <f>SUM(G33+K33)</f>
        <v>0</v>
      </c>
      <c r="O33" s="37" t="str">
        <f>SUM(H33+L33)</f>
        <v>0</v>
      </c>
      <c r="P33" s="33" t="str">
        <f>SUM(N33:O33)</f>
        <v>0</v>
      </c>
      <c r="Q33" s="43"/>
      <c r="R33" s="44"/>
    </row>
    <row r="34" spans="1:18" customHeight="1" ht="15.5">
      <c r="A34" s="44"/>
      <c r="B34" s="39"/>
      <c r="C34" s="37"/>
      <c r="D34" s="39"/>
      <c r="E34" s="35"/>
      <c r="F34" s="40"/>
      <c r="G34" s="41"/>
      <c r="H34" s="37"/>
      <c r="I34" s="33" t="str">
        <f>SUM(G34:H34)</f>
        <v>0</v>
      </c>
      <c r="J34" s="34"/>
      <c r="K34" s="41"/>
      <c r="L34" s="42"/>
      <c r="M34" s="35" t="str">
        <f>SUM(K34:L34)</f>
        <v>0</v>
      </c>
      <c r="N34" s="36" t="str">
        <f>SUM(G34+K34)</f>
        <v>0</v>
      </c>
      <c r="O34" s="37" t="str">
        <f>SUM(H34+L34)</f>
        <v>0</v>
      </c>
      <c r="P34" s="33" t="str">
        <f>SUM(N34:O34)</f>
        <v>0</v>
      </c>
      <c r="Q34" s="43"/>
      <c r="R34" s="44"/>
    </row>
    <row r="35" spans="1:18" customHeight="1" ht="15.5">
      <c r="A35" s="44"/>
      <c r="B35" s="39"/>
      <c r="C35" s="37"/>
      <c r="D35" s="39"/>
      <c r="E35" s="35"/>
      <c r="F35" s="40"/>
      <c r="G35" s="41"/>
      <c r="H35" s="37"/>
      <c r="I35" s="33" t="str">
        <f>SUM(G35:H35)</f>
        <v>0</v>
      </c>
      <c r="J35" s="34"/>
      <c r="K35" s="41"/>
      <c r="L35" s="42"/>
      <c r="M35" s="35" t="str">
        <f>SUM(K35:L35)</f>
        <v>0</v>
      </c>
      <c r="N35" s="36" t="str">
        <f>SUM(G35+K35)</f>
        <v>0</v>
      </c>
      <c r="O35" s="37" t="str">
        <f>SUM(H35+L35)</f>
        <v>0</v>
      </c>
      <c r="P35" s="33" t="str">
        <f>SUM(N35:O35)</f>
        <v>0</v>
      </c>
      <c r="Q35" s="43"/>
      <c r="R35" s="44"/>
    </row>
    <row r="36" spans="1:18" customHeight="1" ht="20">
      <c r="A36" s="44"/>
      <c r="B36" s="39"/>
      <c r="C36" s="37"/>
      <c r="D36" s="39"/>
      <c r="E36" s="35"/>
      <c r="F36" s="40"/>
      <c r="G36" s="41"/>
      <c r="H36" s="37"/>
      <c r="I36" s="33" t="str">
        <f>SUM(G36:H36)</f>
        <v>0</v>
      </c>
      <c r="J36" s="34"/>
      <c r="K36" s="41"/>
      <c r="L36" s="42"/>
      <c r="M36" s="35" t="str">
        <f>SUM(K36:L36)</f>
        <v>0</v>
      </c>
      <c r="N36" s="36" t="str">
        <f>SUM(G36+K36)</f>
        <v>0</v>
      </c>
      <c r="O36" s="37" t="str">
        <f>SUM(H36+L36)</f>
        <v>0</v>
      </c>
      <c r="P36" s="33" t="str">
        <f>SUM(N36:O36)</f>
        <v>0</v>
      </c>
      <c r="Q36" s="33"/>
      <c r="R36" s="45"/>
    </row>
    <row r="37" spans="1:18" customHeight="1" ht="20">
      <c r="A37" s="44"/>
      <c r="B37" s="39"/>
      <c r="C37" s="37"/>
      <c r="D37" s="39"/>
      <c r="E37" s="35"/>
      <c r="F37" s="40"/>
      <c r="G37" s="41"/>
      <c r="H37" s="37"/>
      <c r="I37" s="33" t="str">
        <f>SUM(G37:H37)</f>
        <v>0</v>
      </c>
      <c r="J37" s="34"/>
      <c r="K37" s="41"/>
      <c r="L37" s="42"/>
      <c r="M37" s="35" t="str">
        <f>SUM(K37:L37)</f>
        <v>0</v>
      </c>
      <c r="N37" s="36" t="str">
        <f>SUM(G37+K37)</f>
        <v>0</v>
      </c>
      <c r="O37" s="37" t="str">
        <f>SUM(H37+L37)</f>
        <v>0</v>
      </c>
      <c r="P37" s="33" t="str">
        <f>SUM(N37:O37)</f>
        <v>0</v>
      </c>
      <c r="Q37" s="33"/>
      <c r="R37" s="45"/>
    </row>
    <row r="38" spans="1:18" customHeight="1" ht="20">
      <c r="A38" s="38"/>
      <c r="B38" s="39"/>
      <c r="C38" s="37"/>
      <c r="D38" s="39"/>
      <c r="E38" s="35"/>
      <c r="F38" s="40"/>
      <c r="G38" s="41"/>
      <c r="H38" s="37"/>
      <c r="I38" s="33" t="str">
        <f>SUM(G38:H38)</f>
        <v>0</v>
      </c>
      <c r="J38" s="34"/>
      <c r="K38" s="41"/>
      <c r="L38" s="42"/>
      <c r="M38" s="35" t="str">
        <f>SUM(K38:L38)</f>
        <v>0</v>
      </c>
      <c r="N38" s="36" t="str">
        <f>SUM(G38+K38)</f>
        <v>0</v>
      </c>
      <c r="O38" s="37" t="str">
        <f>SUM(H38+L38)</f>
        <v>0</v>
      </c>
      <c r="P38" s="33" t="str">
        <f>SUM(N38:O38)</f>
        <v>0</v>
      </c>
      <c r="Q38" s="33"/>
      <c r="R38" s="45"/>
    </row>
    <row r="39" spans="1:18" customHeight="1" ht="20">
      <c r="A39" s="44"/>
      <c r="B39" s="37"/>
      <c r="C39" s="37"/>
      <c r="D39" s="37"/>
      <c r="E39" s="35"/>
      <c r="F39" s="40"/>
      <c r="G39" s="41"/>
      <c r="H39" s="37"/>
      <c r="I39" s="33" t="str">
        <f>SUM(G39:H39)</f>
        <v>0</v>
      </c>
      <c r="J39" s="34"/>
      <c r="K39" s="41"/>
      <c r="L39" s="42"/>
      <c r="M39" s="35" t="str">
        <f>SUM(K39:L39)</f>
        <v>0</v>
      </c>
      <c r="N39" s="36" t="str">
        <f>SUM(G39+K39)</f>
        <v>0</v>
      </c>
      <c r="O39" s="37" t="str">
        <f>SUM(H39+L39)</f>
        <v>0</v>
      </c>
      <c r="P39" s="33" t="str">
        <f>SUM(N39:O39)</f>
        <v>0</v>
      </c>
      <c r="Q39" s="33"/>
      <c r="R39" s="45"/>
    </row>
    <row r="40" spans="1:18" customHeight="1" ht="20">
      <c r="A40" s="38"/>
      <c r="B40" s="37"/>
      <c r="C40" s="37"/>
      <c r="D40" s="37"/>
      <c r="E40" s="35"/>
      <c r="F40" s="40"/>
      <c r="G40" s="41"/>
      <c r="H40" s="37"/>
      <c r="I40" s="33" t="str">
        <f>SUM(G40:H40)</f>
        <v>0</v>
      </c>
      <c r="J40" s="34"/>
      <c r="K40" s="41"/>
      <c r="L40" s="42"/>
      <c r="M40" s="35" t="str">
        <f>SUM(K40:L40)</f>
        <v>0</v>
      </c>
      <c r="N40" s="36" t="str">
        <f>SUM(G40+K40)</f>
        <v>0</v>
      </c>
      <c r="O40" s="37" t="str">
        <f>SUM(H40+L40)</f>
        <v>0</v>
      </c>
      <c r="P40" s="33" t="str">
        <f>SUM(N40:O40)</f>
        <v>0</v>
      </c>
      <c r="Q40" s="33"/>
      <c r="R40" s="45"/>
    </row>
    <row r="41" spans="1:18" customHeight="1" ht="20">
      <c r="A41" s="44"/>
      <c r="B41" s="37"/>
      <c r="C41" s="37"/>
      <c r="D41" s="37"/>
      <c r="E41" s="35"/>
      <c r="F41" s="40"/>
      <c r="G41" s="41"/>
      <c r="H41" s="37"/>
      <c r="I41" s="33" t="str">
        <f>SUM(G41:H41)</f>
        <v>0</v>
      </c>
      <c r="J41" s="34"/>
      <c r="K41" s="41"/>
      <c r="L41" s="42"/>
      <c r="M41" s="35" t="str">
        <f>SUM(K41:L41)</f>
        <v>0</v>
      </c>
      <c r="N41" s="36" t="str">
        <f>SUM(G41+K41)</f>
        <v>0</v>
      </c>
      <c r="O41" s="37" t="str">
        <f>SUM(H41+L41)</f>
        <v>0</v>
      </c>
      <c r="P41" s="33" t="str">
        <f>SUM(N41:O41)</f>
        <v>0</v>
      </c>
      <c r="Q41" s="33"/>
      <c r="R41" s="45"/>
    </row>
    <row r="42" spans="1:18" customHeight="1" ht="20">
      <c r="A42" s="46"/>
      <c r="B42" s="37"/>
      <c r="C42" s="37"/>
      <c r="D42" s="37"/>
      <c r="E42" s="35"/>
      <c r="F42" s="40"/>
      <c r="G42" s="41"/>
      <c r="H42" s="37"/>
      <c r="I42" s="33" t="str">
        <f>SUM(G42:H42)</f>
        <v>0</v>
      </c>
      <c r="J42" s="34"/>
      <c r="K42" s="41"/>
      <c r="L42" s="42"/>
      <c r="M42" s="35" t="str">
        <f>SUM(K42:L42)</f>
        <v>0</v>
      </c>
      <c r="N42" s="36" t="str">
        <f>SUM(G42+K42)</f>
        <v>0</v>
      </c>
      <c r="O42" s="37" t="str">
        <f>SUM(H42+L42)</f>
        <v>0</v>
      </c>
      <c r="P42" s="33" t="str">
        <f>SUM(N42:O42)</f>
        <v>0</v>
      </c>
      <c r="Q42" s="33"/>
      <c r="R42" s="45"/>
    </row>
    <row r="43" spans="1:18" customHeight="1" ht="20">
      <c r="A43" s="44"/>
      <c r="B43" s="37"/>
      <c r="C43" s="37"/>
      <c r="D43" s="37"/>
      <c r="E43" s="35"/>
      <c r="F43" s="40"/>
      <c r="G43" s="41"/>
      <c r="H43" s="37"/>
      <c r="I43" s="33" t="str">
        <f>SUM(G43:H43)</f>
        <v>0</v>
      </c>
      <c r="J43" s="34"/>
      <c r="K43" s="41"/>
      <c r="L43" s="42"/>
      <c r="M43" s="35" t="str">
        <f>SUM(K43:L43)</f>
        <v>0</v>
      </c>
      <c r="N43" s="36" t="str">
        <f>SUM(G43+K43)</f>
        <v>0</v>
      </c>
      <c r="O43" s="37" t="str">
        <f>SUM(H43+L43)</f>
        <v>0</v>
      </c>
      <c r="P43" s="33" t="str">
        <f>SUM(N43:O43)</f>
        <v>0</v>
      </c>
      <c r="Q43" s="33"/>
      <c r="R43" s="45"/>
    </row>
    <row r="44" spans="1:18" customHeight="1" ht="20">
      <c r="A44" s="44"/>
      <c r="B44" s="37"/>
      <c r="C44" s="37"/>
      <c r="D44" s="37"/>
      <c r="E44" s="35"/>
      <c r="F44" s="40"/>
      <c r="G44" s="41"/>
      <c r="H44" s="37"/>
      <c r="I44" s="33" t="str">
        <f>SUM(G44:H44)</f>
        <v>0</v>
      </c>
      <c r="J44" s="34"/>
      <c r="K44" s="41"/>
      <c r="L44" s="42"/>
      <c r="M44" s="35" t="str">
        <f>SUM(K44:L44)</f>
        <v>0</v>
      </c>
      <c r="N44" s="36" t="str">
        <f>SUM(G44+K44)</f>
        <v>0</v>
      </c>
      <c r="O44" s="37" t="str">
        <f>SUM(H44+L44)</f>
        <v>0</v>
      </c>
      <c r="P44" s="33" t="str">
        <f>SUM(N44:O44)</f>
        <v>0</v>
      </c>
      <c r="Q44" s="33"/>
      <c r="R44" s="45"/>
    </row>
    <row r="45" spans="1:18" customHeight="1" ht="20">
      <c r="A45" s="47"/>
      <c r="B45" s="37"/>
      <c r="C45" s="37"/>
      <c r="D45" s="37"/>
      <c r="E45" s="35"/>
      <c r="F45" s="40"/>
      <c r="G45" s="41"/>
      <c r="H45" s="37"/>
      <c r="I45" s="33" t="str">
        <f>SUM(G45:H45)</f>
        <v>0</v>
      </c>
      <c r="J45" s="34"/>
      <c r="K45" s="41"/>
      <c r="L45" s="42"/>
      <c r="M45" s="35" t="str">
        <f>SUM(K45:L45)</f>
        <v>0</v>
      </c>
      <c r="N45" s="36" t="str">
        <f>SUM(G45+K45)</f>
        <v>0</v>
      </c>
      <c r="O45" s="37" t="str">
        <f>SUM(H45+L45)</f>
        <v>0</v>
      </c>
      <c r="P45" s="33" t="str">
        <f>SUM(N45:O45)</f>
        <v>0</v>
      </c>
      <c r="Q45" s="33"/>
      <c r="R45" s="45"/>
    </row>
    <row r="46" spans="1:18" customHeight="1" ht="20">
      <c r="A46" s="44"/>
      <c r="B46" s="37"/>
      <c r="C46" s="37"/>
      <c r="D46" s="37"/>
      <c r="E46" s="35"/>
      <c r="F46" s="40"/>
      <c r="G46" s="41"/>
      <c r="H46" s="37"/>
      <c r="I46" s="33" t="str">
        <f>SUM(G46:H46)</f>
        <v>0</v>
      </c>
      <c r="J46" s="34"/>
      <c r="K46" s="41"/>
      <c r="L46" s="42"/>
      <c r="M46" s="35" t="str">
        <f>SUM(K46:L46)</f>
        <v>0</v>
      </c>
      <c r="N46" s="36" t="str">
        <f>SUM(G46+K46)</f>
        <v>0</v>
      </c>
      <c r="O46" s="37" t="str">
        <f>SUM(H46+L46)</f>
        <v>0</v>
      </c>
      <c r="P46" s="33" t="str">
        <f>SUM(N46:O46)</f>
        <v>0</v>
      </c>
      <c r="Q46" s="33"/>
      <c r="R46" s="45"/>
    </row>
    <row r="47" spans="1:18" customHeight="1" ht="20">
      <c r="A47" s="44"/>
      <c r="B47" s="37"/>
      <c r="C47" s="37"/>
      <c r="D47" s="37"/>
      <c r="E47" s="35"/>
      <c r="F47" s="40"/>
      <c r="G47" s="41"/>
      <c r="H47" s="37"/>
      <c r="I47" s="33" t="str">
        <f>SUM(G47:H47)</f>
        <v>0</v>
      </c>
      <c r="J47" s="34"/>
      <c r="K47" s="41"/>
      <c r="L47" s="42"/>
      <c r="M47" s="35" t="str">
        <f>SUM(K47:L47)</f>
        <v>0</v>
      </c>
      <c r="N47" s="36" t="str">
        <f>SUM(G47+K47)</f>
        <v>0</v>
      </c>
      <c r="O47" s="37" t="str">
        <f>SUM(H47+L47)</f>
        <v>0</v>
      </c>
      <c r="P47" s="33" t="str">
        <f>SUM(N47:O47)</f>
        <v>0</v>
      </c>
      <c r="Q47" s="33"/>
      <c r="R47" s="45"/>
    </row>
    <row r="48" spans="1:18" customHeight="1" ht="20">
      <c r="A48" s="46"/>
      <c r="B48" s="37"/>
      <c r="C48" s="37"/>
      <c r="D48" s="37"/>
      <c r="E48" s="35"/>
      <c r="F48" s="40"/>
      <c r="G48" s="41"/>
      <c r="H48" s="37"/>
      <c r="I48" s="33" t="str">
        <f>SUM(G48:H48)</f>
        <v>0</v>
      </c>
      <c r="J48" s="34"/>
      <c r="K48" s="41"/>
      <c r="L48" s="42"/>
      <c r="M48" s="35" t="str">
        <f>SUM(K48:L48)</f>
        <v>0</v>
      </c>
      <c r="N48" s="36" t="str">
        <f>SUM(G48+K48)</f>
        <v>0</v>
      </c>
      <c r="O48" s="37" t="str">
        <f>SUM(H48+L48)</f>
        <v>0</v>
      </c>
      <c r="P48" s="33" t="str">
        <f>SUM(N48:O48)</f>
        <v>0</v>
      </c>
      <c r="Q48" s="33"/>
      <c r="R48" s="45"/>
    </row>
    <row r="49" spans="1:18" customHeight="1" ht="20">
      <c r="A49" s="44"/>
      <c r="B49" s="37"/>
      <c r="C49" s="37"/>
      <c r="D49" s="37"/>
      <c r="E49" s="35"/>
      <c r="F49" s="40"/>
      <c r="G49" s="41"/>
      <c r="H49" s="37"/>
      <c r="I49" s="33" t="str">
        <f>SUM(G49:H49)</f>
        <v>0</v>
      </c>
      <c r="J49" s="34"/>
      <c r="K49" s="41"/>
      <c r="L49" s="42"/>
      <c r="M49" s="35" t="str">
        <f>SUM(K49:L49)</f>
        <v>0</v>
      </c>
      <c r="N49" s="36" t="str">
        <f>SUM(G49+K49)</f>
        <v>0</v>
      </c>
      <c r="O49" s="37" t="str">
        <f>SUM(H49+L49)</f>
        <v>0</v>
      </c>
      <c r="P49" s="33" t="str">
        <f>SUM(N49:O49)</f>
        <v>0</v>
      </c>
      <c r="Q49" s="33"/>
      <c r="R49" s="45"/>
    </row>
    <row r="50" spans="1:18" customHeight="1" ht="20">
      <c r="A50" s="44"/>
      <c r="B50" s="37"/>
      <c r="C50" s="37"/>
      <c r="D50" s="37"/>
      <c r="E50" s="35"/>
      <c r="F50" s="40"/>
      <c r="G50" s="41"/>
      <c r="H50" s="37"/>
      <c r="I50" s="33" t="str">
        <f>SUM(G50:H50)</f>
        <v>0</v>
      </c>
      <c r="J50" s="34"/>
      <c r="K50" s="41"/>
      <c r="L50" s="42"/>
      <c r="M50" s="35" t="str">
        <f>SUM(K50:L50)</f>
        <v>0</v>
      </c>
      <c r="N50" s="36" t="str">
        <f>SUM(G50+K50)</f>
        <v>0</v>
      </c>
      <c r="O50" s="37" t="str">
        <f>SUM(H50+L50)</f>
        <v>0</v>
      </c>
      <c r="P50" s="33" t="str">
        <f>SUM(N50:O50)</f>
        <v>0</v>
      </c>
      <c r="Q50" s="33"/>
      <c r="R50" s="45"/>
    </row>
    <row r="51" spans="1:18" customHeight="1" ht="20">
      <c r="A51" s="48"/>
      <c r="B51" s="37"/>
      <c r="C51" s="37"/>
      <c r="D51" s="37"/>
      <c r="E51" s="35"/>
      <c r="F51" s="40"/>
      <c r="G51" s="41"/>
      <c r="H51" s="37"/>
      <c r="I51" s="33" t="str">
        <f>SUM(G51:H51)</f>
        <v>0</v>
      </c>
      <c r="J51" s="34"/>
      <c r="K51" s="41"/>
      <c r="L51" s="42"/>
      <c r="M51" s="35" t="str">
        <f>SUM(K51:L51)</f>
        <v>0</v>
      </c>
      <c r="N51" s="36" t="str">
        <f>SUM(G51+K51)</f>
        <v>0</v>
      </c>
      <c r="O51" s="37" t="str">
        <f>SUM(H51+L51)</f>
        <v>0</v>
      </c>
      <c r="P51" s="33" t="str">
        <f>SUM(N51:O51)</f>
        <v>0</v>
      </c>
      <c r="Q51" s="33"/>
      <c r="R51" s="45"/>
    </row>
    <row r="52" spans="1:18" customHeight="1" ht="20">
      <c r="A52" s="49"/>
      <c r="B52" s="37"/>
      <c r="C52" s="37"/>
      <c r="D52" s="37"/>
      <c r="E52" s="35"/>
      <c r="F52" s="40"/>
      <c r="G52" s="41"/>
      <c r="H52" s="37"/>
      <c r="I52" s="33" t="str">
        <f>SUM(G52:H52)</f>
        <v>0</v>
      </c>
      <c r="J52" s="34"/>
      <c r="K52" s="41"/>
      <c r="L52" s="42"/>
      <c r="M52" s="35" t="str">
        <f>SUM(K52:L52)</f>
        <v>0</v>
      </c>
      <c r="N52" s="36" t="str">
        <f>SUM(G52+K52)</f>
        <v>0</v>
      </c>
      <c r="O52" s="37" t="str">
        <f>SUM(H52+L52)</f>
        <v>0</v>
      </c>
      <c r="P52" s="33" t="str">
        <f>SUM(N52:O52)</f>
        <v>0</v>
      </c>
      <c r="Q52" s="33"/>
      <c r="R52" s="45"/>
    </row>
    <row r="53" spans="1:18" customHeight="1" ht="20">
      <c r="A53" s="50"/>
      <c r="B53" s="37"/>
      <c r="C53" s="37"/>
      <c r="D53" s="37"/>
      <c r="E53" s="35"/>
      <c r="F53" s="40"/>
      <c r="G53" s="41"/>
      <c r="H53" s="37"/>
      <c r="I53" s="33" t="str">
        <f>SUM(G53:H53)</f>
        <v>0</v>
      </c>
      <c r="J53" s="34"/>
      <c r="K53" s="41"/>
      <c r="L53" s="42"/>
      <c r="M53" s="35" t="str">
        <f>SUM(K53:L53)</f>
        <v>0</v>
      </c>
      <c r="N53" s="36" t="str">
        <f>SUM(G53+K53)</f>
        <v>0</v>
      </c>
      <c r="O53" s="37" t="str">
        <f>SUM(H53+L53)</f>
        <v>0</v>
      </c>
      <c r="P53" s="33" t="str">
        <f>SUM(N53:O53)</f>
        <v>0</v>
      </c>
      <c r="Q53" s="33"/>
      <c r="R53" s="45"/>
    </row>
    <row r="54" spans="1:18" customHeight="1" ht="20">
      <c r="A54" s="50"/>
      <c r="B54" s="37"/>
      <c r="C54" s="37"/>
      <c r="D54" s="37"/>
      <c r="E54" s="35"/>
      <c r="F54" s="40"/>
      <c r="G54" s="41"/>
      <c r="H54" s="37"/>
      <c r="I54" s="33" t="str">
        <f>SUM(G54:H54)</f>
        <v>0</v>
      </c>
      <c r="J54" s="34"/>
      <c r="K54" s="41"/>
      <c r="L54" s="42"/>
      <c r="M54" s="35" t="str">
        <f>SUM(K54:L54)</f>
        <v>0</v>
      </c>
      <c r="N54" s="36" t="str">
        <f>SUM(G54+K54)</f>
        <v>0</v>
      </c>
      <c r="O54" s="37" t="str">
        <f>SUM(H54+L54)</f>
        <v>0</v>
      </c>
      <c r="P54" s="33" t="str">
        <f>SUM(N54:O54)</f>
        <v>0</v>
      </c>
      <c r="Q54" s="33"/>
      <c r="R54" s="45"/>
    </row>
    <row r="55" spans="1:18" customHeight="1" ht="20">
      <c r="A55" s="50"/>
      <c r="B55" s="37"/>
      <c r="C55" s="37"/>
      <c r="D55" s="37"/>
      <c r="E55" s="35"/>
      <c r="F55" s="40"/>
      <c r="G55" s="41"/>
      <c r="H55" s="37"/>
      <c r="I55" s="33" t="str">
        <f>SUM(G55:H55)</f>
        <v>0</v>
      </c>
      <c r="J55" s="34"/>
      <c r="K55" s="41"/>
      <c r="L55" s="42"/>
      <c r="M55" s="35" t="str">
        <f>SUM(K55:L55)</f>
        <v>0</v>
      </c>
      <c r="N55" s="36" t="str">
        <f>SUM(G55+K55)</f>
        <v>0</v>
      </c>
      <c r="O55" s="37" t="str">
        <f>SUM(H55+L55)</f>
        <v>0</v>
      </c>
      <c r="P55" s="33" t="str">
        <f>SUM(N55:O55)</f>
        <v>0</v>
      </c>
      <c r="Q55" s="33"/>
      <c r="R55" s="45"/>
    </row>
    <row r="56" spans="1:18" customHeight="1" ht="20">
      <c r="A56" s="50"/>
      <c r="B56" s="37"/>
      <c r="C56" s="37"/>
      <c r="D56" s="37"/>
      <c r="E56" s="35"/>
      <c r="F56" s="40"/>
      <c r="G56" s="41"/>
      <c r="H56" s="37"/>
      <c r="I56" s="33" t="str">
        <f>SUM(G56:H56)</f>
        <v>0</v>
      </c>
      <c r="J56" s="34"/>
      <c r="K56" s="41"/>
      <c r="L56" s="42"/>
      <c r="M56" s="35" t="str">
        <f>SUM(K56:L56)</f>
        <v>0</v>
      </c>
      <c r="N56" s="36" t="str">
        <f>SUM(G56+K56)</f>
        <v>0</v>
      </c>
      <c r="O56" s="37" t="str">
        <f>SUM(H56+L56)</f>
        <v>0</v>
      </c>
      <c r="P56" s="33" t="str">
        <f>SUM(N56:O56)</f>
        <v>0</v>
      </c>
      <c r="Q56" s="33"/>
      <c r="R56" s="45"/>
    </row>
    <row r="57" spans="1:18" customHeight="1" ht="20">
      <c r="A57" s="50"/>
      <c r="B57" s="37"/>
      <c r="C57" s="37"/>
      <c r="D57" s="37"/>
      <c r="E57" s="35"/>
      <c r="F57" s="40"/>
      <c r="G57" s="41"/>
      <c r="H57" s="37"/>
      <c r="I57" s="33" t="str">
        <f>SUM(G57:H57)</f>
        <v>0</v>
      </c>
      <c r="J57" s="34"/>
      <c r="K57" s="41"/>
      <c r="L57" s="42"/>
      <c r="M57" s="35" t="str">
        <f>SUM(K57:L57)</f>
        <v>0</v>
      </c>
      <c r="N57" s="36" t="str">
        <f>SUM(G57+K57)</f>
        <v>0</v>
      </c>
      <c r="O57" s="37" t="str">
        <f>SUM(H57+L57)</f>
        <v>0</v>
      </c>
      <c r="P57" s="33" t="str">
        <f>SUM(N57:O57)</f>
        <v>0</v>
      </c>
      <c r="Q57" s="33"/>
      <c r="R57" s="45"/>
    </row>
    <row r="58" spans="1:18" customHeight="1" ht="20">
      <c r="A58" s="50"/>
      <c r="B58" s="37"/>
      <c r="C58" s="37"/>
      <c r="D58" s="37"/>
      <c r="E58" s="35"/>
      <c r="F58" s="40"/>
      <c r="G58" s="41"/>
      <c r="H58" s="37"/>
      <c r="I58" s="33" t="str">
        <f>SUM(G58:H58)</f>
        <v>0</v>
      </c>
      <c r="J58" s="34"/>
      <c r="K58" s="41"/>
      <c r="L58" s="42"/>
      <c r="M58" s="35" t="str">
        <f>SUM(K58:L58)</f>
        <v>0</v>
      </c>
      <c r="N58" s="36" t="str">
        <f>SUM(G58+K58)</f>
        <v>0</v>
      </c>
      <c r="O58" s="37" t="str">
        <f>SUM(H58+L58)</f>
        <v>0</v>
      </c>
      <c r="P58" s="33" t="str">
        <f>SUM(N58:O58)</f>
        <v>0</v>
      </c>
      <c r="Q58" s="33"/>
      <c r="R58" s="45"/>
    </row>
    <row r="59" spans="1:18" customHeight="1" ht="20">
      <c r="A59" s="50"/>
      <c r="B59" s="37"/>
      <c r="C59" s="37"/>
      <c r="D59" s="37"/>
      <c r="E59" s="35"/>
      <c r="F59" s="40"/>
      <c r="G59" s="41"/>
      <c r="H59" s="37"/>
      <c r="I59" s="33" t="str">
        <f>SUM(G59:H59)</f>
        <v>0</v>
      </c>
      <c r="J59" s="34"/>
      <c r="K59" s="41"/>
      <c r="L59" s="42"/>
      <c r="M59" s="35" t="str">
        <f>SUM(K59:L59)</f>
        <v>0</v>
      </c>
      <c r="N59" s="36" t="str">
        <f>SUM(G59+K59)</f>
        <v>0</v>
      </c>
      <c r="O59" s="37" t="str">
        <f>SUM(H59+L59)</f>
        <v>0</v>
      </c>
      <c r="P59" s="33" t="str">
        <f>SUM(N59:O59)</f>
        <v>0</v>
      </c>
      <c r="Q59" s="33"/>
      <c r="R59" s="45"/>
    </row>
    <row r="60" spans="1:18" customHeight="1" ht="20">
      <c r="A60" s="50"/>
      <c r="B60" s="37"/>
      <c r="C60" s="37"/>
      <c r="D60" s="37"/>
      <c r="E60" s="35"/>
      <c r="F60" s="40"/>
      <c r="G60" s="41"/>
      <c r="H60" s="37"/>
      <c r="I60" s="33" t="str">
        <f>SUM(G60:H60)</f>
        <v>0</v>
      </c>
      <c r="J60" s="34"/>
      <c r="K60" s="41"/>
      <c r="L60" s="42"/>
      <c r="M60" s="35" t="str">
        <f>SUM(K60:L60)</f>
        <v>0</v>
      </c>
      <c r="N60" s="36" t="str">
        <f>SUM(G60+K60)</f>
        <v>0</v>
      </c>
      <c r="O60" s="37" t="str">
        <f>SUM(H60+L60)</f>
        <v>0</v>
      </c>
      <c r="P60" s="33" t="str">
        <f>SUM(N60:O60)</f>
        <v>0</v>
      </c>
      <c r="Q60" s="33"/>
      <c r="R60" s="45"/>
    </row>
    <row r="61" spans="1:18" customHeight="1" ht="20">
      <c r="A61" s="50"/>
      <c r="B61" s="37"/>
      <c r="C61" s="37"/>
      <c r="D61" s="37"/>
      <c r="E61" s="35"/>
      <c r="F61" s="40"/>
      <c r="G61" s="41"/>
      <c r="H61" s="37"/>
      <c r="I61" s="33" t="str">
        <f>SUM(G61:H61)</f>
        <v>0</v>
      </c>
      <c r="J61" s="34"/>
      <c r="K61" s="41"/>
      <c r="L61" s="42"/>
      <c r="M61" s="35" t="str">
        <f>SUM(K61:L61)</f>
        <v>0</v>
      </c>
      <c r="N61" s="36" t="str">
        <f>SUM(G61+K61)</f>
        <v>0</v>
      </c>
      <c r="O61" s="37" t="str">
        <f>SUM(H61+L61)</f>
        <v>0</v>
      </c>
      <c r="P61" s="33" t="str">
        <f>SUM(N61:O61)</f>
        <v>0</v>
      </c>
      <c r="Q61" s="33"/>
      <c r="R61" s="45"/>
    </row>
    <row r="62" spans="1:18" customHeight="1" ht="20">
      <c r="A62" s="50"/>
      <c r="B62" s="37"/>
      <c r="C62" s="37"/>
      <c r="D62" s="37"/>
      <c r="E62" s="35"/>
      <c r="F62" s="40"/>
      <c r="G62" s="41"/>
      <c r="H62" s="37"/>
      <c r="I62" s="33" t="str">
        <f>SUM(G62:H62)</f>
        <v>0</v>
      </c>
      <c r="J62" s="34"/>
      <c r="K62" s="41"/>
      <c r="L62" s="42"/>
      <c r="M62" s="35" t="str">
        <f>SUM(K62:L62)</f>
        <v>0</v>
      </c>
      <c r="N62" s="36" t="str">
        <f>SUM(G62+K62)</f>
        <v>0</v>
      </c>
      <c r="O62" s="37" t="str">
        <f>SUM(H62+L62)</f>
        <v>0</v>
      </c>
      <c r="P62" s="33" t="str">
        <f>SUM(N62:O62)</f>
        <v>0</v>
      </c>
      <c r="Q62" s="33"/>
      <c r="R62" s="45"/>
    </row>
    <row r="63" spans="1:18" customHeight="1" ht="20">
      <c r="A63" s="50"/>
      <c r="B63" s="37"/>
      <c r="C63" s="37"/>
      <c r="D63" s="37"/>
      <c r="E63" s="35"/>
      <c r="F63" s="40"/>
      <c r="G63" s="41"/>
      <c r="H63" s="37"/>
      <c r="I63" s="33" t="str">
        <f>SUM(G63:H63)</f>
        <v>0</v>
      </c>
      <c r="J63" s="34"/>
      <c r="K63" s="41"/>
      <c r="L63" s="42"/>
      <c r="M63" s="35" t="str">
        <f>SUM(K63:L63)</f>
        <v>0</v>
      </c>
      <c r="N63" s="36" t="str">
        <f>SUM(G63+K63)</f>
        <v>0</v>
      </c>
      <c r="O63" s="37" t="str">
        <f>SUM(H63+L63)</f>
        <v>0</v>
      </c>
      <c r="P63" s="33" t="str">
        <f>SUM(N63:O63)</f>
        <v>0</v>
      </c>
      <c r="Q63" s="33"/>
      <c r="R63" s="45"/>
    </row>
    <row r="64" spans="1:18" customHeight="1" ht="20">
      <c r="A64" s="50"/>
      <c r="B64" s="37"/>
      <c r="C64" s="37"/>
      <c r="D64" s="37"/>
      <c r="E64" s="35"/>
      <c r="F64" s="40"/>
      <c r="G64" s="41"/>
      <c r="H64" s="37"/>
      <c r="I64" s="33" t="str">
        <f>SUM(G64:H64)</f>
        <v>0</v>
      </c>
      <c r="J64" s="34"/>
      <c r="K64" s="41"/>
      <c r="L64" s="42"/>
      <c r="M64" s="35" t="str">
        <f>SUM(K64:L64)</f>
        <v>0</v>
      </c>
      <c r="N64" s="36" t="str">
        <f>SUM(G64+K64)</f>
        <v>0</v>
      </c>
      <c r="O64" s="37" t="str">
        <f>SUM(H64+L64)</f>
        <v>0</v>
      </c>
      <c r="P64" s="33" t="str">
        <f>SUM(N64:O64)</f>
        <v>0</v>
      </c>
      <c r="Q64" s="33"/>
      <c r="R64" s="45"/>
    </row>
    <row r="65" spans="1:18" customHeight="1" ht="20">
      <c r="A65" s="50"/>
      <c r="B65" s="37"/>
      <c r="C65" s="37"/>
      <c r="D65" s="37"/>
      <c r="E65" s="35"/>
      <c r="F65" s="40"/>
      <c r="G65" s="41"/>
      <c r="H65" s="37"/>
      <c r="I65" s="33" t="str">
        <f>SUM(G65:H65)</f>
        <v>0</v>
      </c>
      <c r="J65" s="34"/>
      <c r="K65" s="41"/>
      <c r="L65" s="42"/>
      <c r="M65" s="35" t="str">
        <f>SUM(K65:L65)</f>
        <v>0</v>
      </c>
      <c r="N65" s="36" t="str">
        <f>SUM(G65+K65)</f>
        <v>0</v>
      </c>
      <c r="O65" s="37" t="str">
        <f>SUM(H65+L65)</f>
        <v>0</v>
      </c>
      <c r="P65" s="33" t="str">
        <f>SUM(N65:O65)</f>
        <v>0</v>
      </c>
      <c r="Q65" s="33"/>
      <c r="R65" s="45"/>
    </row>
    <row r="66" spans="1:18" customHeight="1" ht="20">
      <c r="A66" s="50"/>
      <c r="B66" s="37"/>
      <c r="C66" s="37"/>
      <c r="D66" s="37"/>
      <c r="E66" s="35"/>
      <c r="F66" s="40"/>
      <c r="G66" s="41"/>
      <c r="H66" s="37"/>
      <c r="I66" s="33" t="str">
        <f>SUM(G66:H66)</f>
        <v>0</v>
      </c>
      <c r="J66" s="34"/>
      <c r="K66" s="41"/>
      <c r="L66" s="42"/>
      <c r="M66" s="35" t="str">
        <f>SUM(K66:L66)</f>
        <v>0</v>
      </c>
      <c r="N66" s="36" t="str">
        <f>SUM(G66+K66)</f>
        <v>0</v>
      </c>
      <c r="O66" s="37" t="str">
        <f>SUM(H66+L66)</f>
        <v>0</v>
      </c>
      <c r="P66" s="33" t="str">
        <f>SUM(N66:O66)</f>
        <v>0</v>
      </c>
      <c r="Q66" s="33"/>
      <c r="R66" s="45"/>
    </row>
    <row r="67" spans="1:18" customHeight="1" ht="20">
      <c r="A67" s="50"/>
      <c r="B67" s="37"/>
      <c r="C67" s="37"/>
      <c r="D67" s="37"/>
      <c r="E67" s="35"/>
      <c r="F67" s="40"/>
      <c r="G67" s="41"/>
      <c r="H67" s="37"/>
      <c r="I67" s="33" t="str">
        <f>SUM(G67:H67)</f>
        <v>0</v>
      </c>
      <c r="J67" s="34"/>
      <c r="K67" s="41"/>
      <c r="L67" s="42"/>
      <c r="M67" s="35" t="str">
        <f>SUM(K67:L67)</f>
        <v>0</v>
      </c>
      <c r="N67" s="36" t="str">
        <f>SUM(G67+K67)</f>
        <v>0</v>
      </c>
      <c r="O67" s="37" t="str">
        <f>SUM(H67+L67)</f>
        <v>0</v>
      </c>
      <c r="P67" s="33" t="str">
        <f>SUM(N67:O67)</f>
        <v>0</v>
      </c>
      <c r="Q67" s="33"/>
      <c r="R67" s="45"/>
    </row>
    <row r="68" spans="1:18" customHeight="1" ht="20">
      <c r="A68" s="50"/>
      <c r="B68" s="37"/>
      <c r="C68" s="37"/>
      <c r="D68" s="37"/>
      <c r="E68" s="35"/>
      <c r="F68" s="40"/>
      <c r="G68" s="41"/>
      <c r="H68" s="37"/>
      <c r="I68" s="33" t="str">
        <f>SUM(G68:H68)</f>
        <v>0</v>
      </c>
      <c r="J68" s="34"/>
      <c r="K68" s="41"/>
      <c r="L68" s="42"/>
      <c r="M68" s="35" t="str">
        <f>SUM(K68:L68)</f>
        <v>0</v>
      </c>
      <c r="N68" s="36" t="str">
        <f>SUM(G68+K68)</f>
        <v>0</v>
      </c>
      <c r="O68" s="37" t="str">
        <f>SUM(H68+L68)</f>
        <v>0</v>
      </c>
      <c r="P68" s="33" t="str">
        <f>SUM(N68:O68)</f>
        <v>0</v>
      </c>
      <c r="Q68" s="33"/>
      <c r="R68" s="45"/>
    </row>
    <row r="69" spans="1:18" customHeight="1" ht="20">
      <c r="A69" s="50"/>
      <c r="B69" s="37"/>
      <c r="C69" s="37"/>
      <c r="D69" s="37"/>
      <c r="E69" s="35"/>
      <c r="F69" s="40"/>
      <c r="G69" s="41"/>
      <c r="H69" s="37"/>
      <c r="I69" s="33" t="str">
        <f>SUM(G69:H69)</f>
        <v>0</v>
      </c>
      <c r="J69" s="34"/>
      <c r="K69" s="41"/>
      <c r="L69" s="42"/>
      <c r="M69" s="35" t="str">
        <f>SUM(K69:L69)</f>
        <v>0</v>
      </c>
      <c r="N69" s="36" t="str">
        <f>SUM(G69+K69)</f>
        <v>0</v>
      </c>
      <c r="O69" s="37" t="str">
        <f>SUM(H69+L69)</f>
        <v>0</v>
      </c>
      <c r="P69" s="33" t="str">
        <f>SUM(N69:O69)</f>
        <v>0</v>
      </c>
      <c r="Q69" s="33"/>
      <c r="R69" s="45"/>
    </row>
    <row r="70" spans="1:18" customHeight="1" ht="20">
      <c r="A70" s="50"/>
      <c r="B70" s="37"/>
      <c r="C70" s="37"/>
      <c r="D70" s="37"/>
      <c r="E70" s="35"/>
      <c r="F70" s="40"/>
      <c r="G70" s="41"/>
      <c r="H70" s="37"/>
      <c r="I70" s="33" t="str">
        <f>SUM(G70:H70)</f>
        <v>0</v>
      </c>
      <c r="J70" s="34"/>
      <c r="K70" s="41"/>
      <c r="L70" s="42"/>
      <c r="M70" s="35" t="str">
        <f>SUM(K70:L70)</f>
        <v>0</v>
      </c>
      <c r="N70" s="36" t="str">
        <f>SUM(G70+K70)</f>
        <v>0</v>
      </c>
      <c r="O70" s="37" t="str">
        <f>SUM(H70+L70)</f>
        <v>0</v>
      </c>
      <c r="P70" s="33" t="str">
        <f>SUM(N70:O70)</f>
        <v>0</v>
      </c>
      <c r="Q70" s="33"/>
      <c r="R70" s="45"/>
    </row>
    <row r="71" spans="1:18" customHeight="1" ht="20">
      <c r="A71" s="50"/>
      <c r="B71" s="37"/>
      <c r="C71" s="37"/>
      <c r="D71" s="37"/>
      <c r="E71" s="35"/>
      <c r="F71" s="40"/>
      <c r="G71" s="41"/>
      <c r="H71" s="37"/>
      <c r="I71" s="33" t="str">
        <f>SUM(G71:H71)</f>
        <v>0</v>
      </c>
      <c r="J71" s="34"/>
      <c r="K71" s="41"/>
      <c r="L71" s="42"/>
      <c r="M71" s="35" t="str">
        <f>SUM(K71:L71)</f>
        <v>0</v>
      </c>
      <c r="N71" s="36" t="str">
        <f>SUM(G71+K71)</f>
        <v>0</v>
      </c>
      <c r="O71" s="37" t="str">
        <f>SUM(H71+L71)</f>
        <v>0</v>
      </c>
      <c r="P71" s="33" t="str">
        <f>SUM(N71:O71)</f>
        <v>0</v>
      </c>
      <c r="Q71" s="33"/>
      <c r="R71" s="45"/>
    </row>
    <row r="72" spans="1:18" customHeight="1" ht="20">
      <c r="A72" s="41"/>
      <c r="B72" s="37"/>
      <c r="C72" s="37"/>
      <c r="D72" s="37"/>
      <c r="E72" s="35"/>
      <c r="F72" s="40"/>
      <c r="G72" s="41"/>
      <c r="H72" s="37"/>
      <c r="I72" s="33" t="str">
        <f>SUM(G72:H72)</f>
        <v>0</v>
      </c>
      <c r="J72" s="34"/>
      <c r="K72" s="41"/>
      <c r="L72" s="42"/>
      <c r="M72" s="35" t="str">
        <f>SUM(K72:L72)</f>
        <v>0</v>
      </c>
      <c r="N72" s="36" t="str">
        <f>SUM(G72+K72)</f>
        <v>0</v>
      </c>
      <c r="O72" s="37" t="str">
        <f>SUM(H72+L72)</f>
        <v>0</v>
      </c>
      <c r="P72" s="33" t="str">
        <f>SUM(N72:O72)</f>
        <v>0</v>
      </c>
      <c r="Q72" s="33"/>
      <c r="R72" s="45"/>
    </row>
    <row r="73" spans="1:18" customHeight="1" ht="20">
      <c r="A73" s="41"/>
      <c r="B73" s="37"/>
      <c r="C73" s="37"/>
      <c r="D73" s="37"/>
      <c r="E73" s="35"/>
      <c r="F73" s="40"/>
      <c r="G73" s="41"/>
      <c r="H73" s="37"/>
      <c r="I73" s="33" t="str">
        <f>SUM(G73:H73)</f>
        <v>0</v>
      </c>
      <c r="J73" s="34"/>
      <c r="K73" s="41"/>
      <c r="L73" s="42"/>
      <c r="M73" s="35" t="str">
        <f>SUM(K73:L73)</f>
        <v>0</v>
      </c>
      <c r="N73" s="36" t="str">
        <f>SUM(G73+K73)</f>
        <v>0</v>
      </c>
      <c r="O73" s="37" t="str">
        <f>SUM(H73+L73)</f>
        <v>0</v>
      </c>
      <c r="P73" s="33" t="str">
        <f>SUM(N73:O73)</f>
        <v>0</v>
      </c>
      <c r="Q73" s="33"/>
      <c r="R73" s="45"/>
    </row>
    <row r="74" spans="1:18" customHeight="1" ht="20">
      <c r="A74" s="41"/>
      <c r="B74" s="37"/>
      <c r="C74" s="37"/>
      <c r="D74" s="37"/>
      <c r="E74" s="35"/>
      <c r="F74" s="40"/>
      <c r="G74" s="41"/>
      <c r="H74" s="37"/>
      <c r="I74" s="33" t="str">
        <f>SUM(G74:H74)</f>
        <v>0</v>
      </c>
      <c r="J74" s="34"/>
      <c r="K74" s="41"/>
      <c r="L74" s="42"/>
      <c r="M74" s="35" t="str">
        <f>SUM(K74:L74)</f>
        <v>0</v>
      </c>
      <c r="N74" s="36" t="str">
        <f>SUM(G74+K74)</f>
        <v>0</v>
      </c>
      <c r="O74" s="37" t="str">
        <f>SUM(H74+L74)</f>
        <v>0</v>
      </c>
      <c r="P74" s="33" t="str">
        <f>SUM(N74:O74)</f>
        <v>0</v>
      </c>
      <c r="Q74" s="33"/>
      <c r="R74" s="45"/>
    </row>
    <row r="75" spans="1:18" customHeight="1" ht="20">
      <c r="A75" s="41"/>
      <c r="B75" s="37"/>
      <c r="C75" s="37"/>
      <c r="D75" s="37"/>
      <c r="E75" s="35"/>
      <c r="F75" s="40"/>
      <c r="G75" s="41"/>
      <c r="H75" s="37"/>
      <c r="I75" s="33" t="str">
        <f>SUM(G75:H75)</f>
        <v>0</v>
      </c>
      <c r="J75" s="34"/>
      <c r="K75" s="41"/>
      <c r="L75" s="42"/>
      <c r="M75" s="35" t="str">
        <f>SUM(K75:L75)</f>
        <v>0</v>
      </c>
      <c r="N75" s="36" t="str">
        <f>SUM(G75+K75)</f>
        <v>0</v>
      </c>
      <c r="O75" s="37" t="str">
        <f>SUM(H75+L75)</f>
        <v>0</v>
      </c>
      <c r="P75" s="33" t="str">
        <f>SUM(N75:O75)</f>
        <v>0</v>
      </c>
      <c r="Q75" s="33"/>
      <c r="R75" s="45"/>
    </row>
    <row r="76" spans="1:18" customHeight="1" ht="20">
      <c r="A76" s="41"/>
      <c r="B76" s="37"/>
      <c r="C76" s="37"/>
      <c r="D76" s="37"/>
      <c r="E76" s="35"/>
      <c r="F76" s="40"/>
      <c r="G76" s="41"/>
      <c r="H76" s="37"/>
      <c r="I76" s="33" t="str">
        <f>SUM(G76:H76)</f>
        <v>0</v>
      </c>
      <c r="J76" s="34"/>
      <c r="K76" s="41"/>
      <c r="L76" s="42"/>
      <c r="M76" s="35" t="str">
        <f>SUM(K76:L76)</f>
        <v>0</v>
      </c>
      <c r="N76" s="36" t="str">
        <f>SUM(G76+K76)</f>
        <v>0</v>
      </c>
      <c r="O76" s="37" t="str">
        <f>SUM(H76+L76)</f>
        <v>0</v>
      </c>
      <c r="P76" s="33" t="str">
        <f>SUM(N76:O76)</f>
        <v>0</v>
      </c>
      <c r="Q76" s="33"/>
      <c r="R76" s="45"/>
    </row>
    <row r="77" spans="1:18" customHeight="1" ht="20">
      <c r="A77" s="41"/>
      <c r="B77" s="37"/>
      <c r="C77" s="37"/>
      <c r="D77" s="37"/>
      <c r="E77" s="35"/>
      <c r="F77" s="40"/>
      <c r="G77" s="41"/>
      <c r="H77" s="37"/>
      <c r="I77" s="33" t="str">
        <f>SUM(G77:H77)</f>
        <v>0</v>
      </c>
      <c r="J77" s="34"/>
      <c r="K77" s="41"/>
      <c r="L77" s="42"/>
      <c r="M77" s="35" t="str">
        <f>SUM(K77:L77)</f>
        <v>0</v>
      </c>
      <c r="N77" s="36" t="str">
        <f>SUM(G77+K77)</f>
        <v>0</v>
      </c>
      <c r="O77" s="37" t="str">
        <f>SUM(H77+L77)</f>
        <v>0</v>
      </c>
      <c r="P77" s="33" t="str">
        <f>SUM(N77:O77)</f>
        <v>0</v>
      </c>
      <c r="Q77" s="33"/>
      <c r="R77" s="45"/>
    </row>
    <row r="78" spans="1:18" customHeight="1" ht="20">
      <c r="A78" s="41"/>
      <c r="B78" s="37"/>
      <c r="C78" s="37"/>
      <c r="D78" s="37"/>
      <c r="E78" s="35"/>
      <c r="F78" s="40"/>
      <c r="G78" s="41"/>
      <c r="H78" s="37"/>
      <c r="I78" s="33" t="str">
        <f>SUM(G78:H78)</f>
        <v>0</v>
      </c>
      <c r="J78" s="34"/>
      <c r="K78" s="41"/>
      <c r="L78" s="42"/>
      <c r="M78" s="35" t="str">
        <f>SUM(K78:L78)</f>
        <v>0</v>
      </c>
      <c r="N78" s="36" t="str">
        <f>SUM(G78+K78)</f>
        <v>0</v>
      </c>
      <c r="O78" s="37" t="str">
        <f>SUM(H78+L78)</f>
        <v>0</v>
      </c>
      <c r="P78" s="33" t="str">
        <f>SUM(N78:O78)</f>
        <v>0</v>
      </c>
      <c r="Q78" s="33"/>
      <c r="R78" s="45"/>
    </row>
    <row r="79" spans="1:18" customHeight="1" ht="20">
      <c r="A79" s="41"/>
      <c r="B79" s="37"/>
      <c r="C79" s="37"/>
      <c r="D79" s="37"/>
      <c r="E79" s="35"/>
      <c r="F79" s="40"/>
      <c r="G79" s="41"/>
      <c r="H79" s="37"/>
      <c r="I79" s="33" t="str">
        <f>SUM(G79:H79)</f>
        <v>0</v>
      </c>
      <c r="J79" s="34"/>
      <c r="K79" s="41"/>
      <c r="L79" s="42"/>
      <c r="M79" s="35" t="str">
        <f>SUM(K79:L79)</f>
        <v>0</v>
      </c>
      <c r="N79" s="36" t="str">
        <f>SUM(G79+K79)</f>
        <v>0</v>
      </c>
      <c r="O79" s="37" t="str">
        <f>SUM(H79+L79)</f>
        <v>0</v>
      </c>
      <c r="P79" s="33" t="str">
        <f>SUM(N79:O79)</f>
        <v>0</v>
      </c>
      <c r="Q79" s="33"/>
      <c r="R79" s="45"/>
    </row>
    <row r="80" spans="1:18" customHeight="1" ht="20">
      <c r="A80" s="41"/>
      <c r="B80" s="37"/>
      <c r="C80" s="37"/>
      <c r="D80" s="37"/>
      <c r="E80" s="35"/>
      <c r="F80" s="40"/>
      <c r="G80" s="41"/>
      <c r="H80" s="37"/>
      <c r="I80" s="33" t="str">
        <f>SUM(G80:H80)</f>
        <v>0</v>
      </c>
      <c r="J80" s="34"/>
      <c r="K80" s="41"/>
      <c r="L80" s="42"/>
      <c r="M80" s="35" t="str">
        <f>SUM(K80:L80)</f>
        <v>0</v>
      </c>
      <c r="N80" s="36" t="str">
        <f>SUM(G80+K80)</f>
        <v>0</v>
      </c>
      <c r="O80" s="37" t="str">
        <f>SUM(H80+L80)</f>
        <v>0</v>
      </c>
      <c r="P80" s="33" t="str">
        <f>SUM(N80:O80)</f>
        <v>0</v>
      </c>
      <c r="Q80" s="33"/>
      <c r="R80" s="45"/>
    </row>
    <row r="81" spans="1:18" customHeight="1" ht="20">
      <c r="A81" s="41"/>
      <c r="B81" s="37"/>
      <c r="C81" s="37"/>
      <c r="D81" s="37"/>
      <c r="E81" s="35"/>
      <c r="F81" s="40"/>
      <c r="G81" s="41"/>
      <c r="H81" s="37"/>
      <c r="I81" s="33" t="str">
        <f>SUM(G81:H81)</f>
        <v>0</v>
      </c>
      <c r="J81" s="34"/>
      <c r="K81" s="41"/>
      <c r="L81" s="42"/>
      <c r="M81" s="35" t="str">
        <f>SUM(K81:L81)</f>
        <v>0</v>
      </c>
      <c r="N81" s="36" t="str">
        <f>SUM(G81+K81)</f>
        <v>0</v>
      </c>
      <c r="O81" s="37" t="str">
        <f>SUM(H81+L81)</f>
        <v>0</v>
      </c>
      <c r="P81" s="33" t="str">
        <f>SUM(N81:O81)</f>
        <v>0</v>
      </c>
      <c r="Q81" s="33"/>
      <c r="R81" s="45"/>
    </row>
    <row r="82" spans="1:18" customHeight="1" ht="20">
      <c r="A82" s="41"/>
      <c r="B82" s="37"/>
      <c r="C82" s="37"/>
      <c r="D82" s="37"/>
      <c r="E82" s="35"/>
      <c r="F82" s="40"/>
      <c r="G82" s="41"/>
      <c r="H82" s="37"/>
      <c r="I82" s="33" t="str">
        <f>SUM(G82:H82)</f>
        <v>0</v>
      </c>
      <c r="J82" s="34"/>
      <c r="K82" s="41"/>
      <c r="L82" s="42"/>
      <c r="M82" s="35" t="str">
        <f>SUM(K82:L82)</f>
        <v>0</v>
      </c>
      <c r="N82" s="36" t="str">
        <f>SUM(G82+K82)</f>
        <v>0</v>
      </c>
      <c r="O82" s="37" t="str">
        <f>SUM(H82+L82)</f>
        <v>0</v>
      </c>
      <c r="P82" s="33" t="str">
        <f>SUM(N82:O82)</f>
        <v>0</v>
      </c>
      <c r="Q82" s="33"/>
      <c r="R82" s="45"/>
    </row>
    <row r="83" spans="1:18" customHeight="1" ht="20">
      <c r="A83" s="41"/>
      <c r="B83" s="37"/>
      <c r="C83" s="37"/>
      <c r="D83" s="37"/>
      <c r="E83" s="35"/>
      <c r="F83" s="40"/>
      <c r="G83" s="41"/>
      <c r="H83" s="37"/>
      <c r="I83" s="33" t="str">
        <f>SUM(G83:H83)</f>
        <v>0</v>
      </c>
      <c r="J83" s="34"/>
      <c r="K83" s="41"/>
      <c r="L83" s="42"/>
      <c r="M83" s="35" t="str">
        <f>SUM(K83:L83)</f>
        <v>0</v>
      </c>
      <c r="N83" s="36" t="str">
        <f>SUM(G83+K83)</f>
        <v>0</v>
      </c>
      <c r="O83" s="37" t="str">
        <f>SUM(H83+L83)</f>
        <v>0</v>
      </c>
      <c r="P83" s="33" t="str">
        <f>SUM(N83:O83)</f>
        <v>0</v>
      </c>
      <c r="Q83" s="33"/>
      <c r="R83" s="45"/>
    </row>
    <row r="84" spans="1:18" customHeight="1" ht="20">
      <c r="A84" s="41"/>
      <c r="B84" s="37"/>
      <c r="C84" s="37"/>
      <c r="D84" s="37"/>
      <c r="E84" s="35"/>
      <c r="F84" s="40"/>
      <c r="G84" s="41"/>
      <c r="H84" s="37"/>
      <c r="I84" s="33" t="str">
        <f>SUM(G84:H84)</f>
        <v>0</v>
      </c>
      <c r="J84" s="34"/>
      <c r="K84" s="41"/>
      <c r="L84" s="42"/>
      <c r="M84" s="35" t="str">
        <f>SUM(K84:L84)</f>
        <v>0</v>
      </c>
      <c r="N84" s="36" t="str">
        <f>SUM(G84+K84)</f>
        <v>0</v>
      </c>
      <c r="O84" s="37" t="str">
        <f>SUM(H84+L84)</f>
        <v>0</v>
      </c>
      <c r="P84" s="33" t="str">
        <f>SUM(N84:O84)</f>
        <v>0</v>
      </c>
      <c r="Q84" s="33"/>
      <c r="R84" s="45"/>
    </row>
    <row r="85" spans="1:18" customHeight="1" ht="20">
      <c r="A85" s="41"/>
      <c r="B85" s="37"/>
      <c r="C85" s="37"/>
      <c r="D85" s="37"/>
      <c r="E85" s="35"/>
      <c r="F85" s="40"/>
      <c r="G85" s="41"/>
      <c r="H85" s="37"/>
      <c r="I85" s="33" t="str">
        <f>SUM(G85:H85)</f>
        <v>0</v>
      </c>
      <c r="J85" s="34"/>
      <c r="K85" s="41"/>
      <c r="L85" s="42"/>
      <c r="M85" s="35" t="str">
        <f>SUM(K85:L85)</f>
        <v>0</v>
      </c>
      <c r="N85" s="36" t="str">
        <f>SUM(G85+K85)</f>
        <v>0</v>
      </c>
      <c r="O85" s="37" t="str">
        <f>SUM(H85+L85)</f>
        <v>0</v>
      </c>
      <c r="P85" s="33" t="str">
        <f>SUM(N85:O85)</f>
        <v>0</v>
      </c>
      <c r="Q85" s="33"/>
      <c r="R85" s="45"/>
    </row>
    <row r="86" spans="1:18" customHeight="1" ht="20">
      <c r="A86" s="41"/>
      <c r="B86" s="37"/>
      <c r="C86" s="37"/>
      <c r="D86" s="37"/>
      <c r="E86" s="35"/>
      <c r="F86" s="40"/>
      <c r="G86" s="41"/>
      <c r="H86" s="37"/>
      <c r="I86" s="33" t="str">
        <f>SUM(G86:H86)</f>
        <v>0</v>
      </c>
      <c r="J86" s="34"/>
      <c r="K86" s="41"/>
      <c r="L86" s="42"/>
      <c r="M86" s="35" t="str">
        <f>SUM(K86:L86)</f>
        <v>0</v>
      </c>
      <c r="N86" s="36" t="str">
        <f>SUM(G86+K86)</f>
        <v>0</v>
      </c>
      <c r="O86" s="37" t="str">
        <f>SUM(H86+L86)</f>
        <v>0</v>
      </c>
      <c r="P86" s="33" t="str">
        <f>SUM(N86:O86)</f>
        <v>0</v>
      </c>
      <c r="Q86" s="33"/>
      <c r="R86" s="45"/>
    </row>
    <row r="87" spans="1:18" customHeight="1" ht="20">
      <c r="A87" s="41"/>
      <c r="B87" s="37"/>
      <c r="C87" s="37"/>
      <c r="D87" s="37"/>
      <c r="E87" s="35"/>
      <c r="F87" s="40"/>
      <c r="G87" s="41"/>
      <c r="H87" s="37"/>
      <c r="I87" s="33" t="str">
        <f>SUM(G87:H87)</f>
        <v>0</v>
      </c>
      <c r="J87" s="34"/>
      <c r="K87" s="41"/>
      <c r="L87" s="42"/>
      <c r="M87" s="35" t="str">
        <f>SUM(K87:L87)</f>
        <v>0</v>
      </c>
      <c r="N87" s="36" t="str">
        <f>SUM(G87+K87)</f>
        <v>0</v>
      </c>
      <c r="O87" s="37" t="str">
        <f>SUM(H87+L87)</f>
        <v>0</v>
      </c>
      <c r="P87" s="33" t="str">
        <f>SUM(N87:O87)</f>
        <v>0</v>
      </c>
      <c r="Q87" s="33"/>
      <c r="R87" s="45"/>
    </row>
    <row r="88" spans="1:18" customHeight="1" ht="20">
      <c r="A88" s="41"/>
      <c r="B88" s="37"/>
      <c r="C88" s="37"/>
      <c r="D88" s="37"/>
      <c r="E88" s="35"/>
      <c r="F88" s="40"/>
      <c r="G88" s="41"/>
      <c r="H88" s="37"/>
      <c r="I88" s="33" t="str">
        <f>SUM(G88:H88)</f>
        <v>0</v>
      </c>
      <c r="J88" s="34"/>
      <c r="K88" s="41"/>
      <c r="L88" s="42"/>
      <c r="M88" s="35" t="str">
        <f>SUM(K88:L88)</f>
        <v>0</v>
      </c>
      <c r="N88" s="36" t="str">
        <f>SUM(G88+K88)</f>
        <v>0</v>
      </c>
      <c r="O88" s="37" t="str">
        <f>SUM(H88+L88)</f>
        <v>0</v>
      </c>
      <c r="P88" s="33" t="str">
        <f>SUM(N88:O88)</f>
        <v>0</v>
      </c>
      <c r="Q88" s="33"/>
      <c r="R88" s="45"/>
    </row>
    <row r="89" spans="1:18" customHeight="1" ht="20">
      <c r="A89" s="41"/>
      <c r="B89" s="37"/>
      <c r="C89" s="37"/>
      <c r="D89" s="37"/>
      <c r="E89" s="35"/>
      <c r="F89" s="40"/>
      <c r="G89" s="41"/>
      <c r="H89" s="37"/>
      <c r="I89" s="33" t="str">
        <f>SUM(G89:H89)</f>
        <v>0</v>
      </c>
      <c r="J89" s="34"/>
      <c r="K89" s="41"/>
      <c r="L89" s="42"/>
      <c r="M89" s="35" t="str">
        <f>SUM(K89:L89)</f>
        <v>0</v>
      </c>
      <c r="N89" s="36" t="str">
        <f>SUM(G89+K89)</f>
        <v>0</v>
      </c>
      <c r="O89" s="37" t="str">
        <f>SUM(H89+L89)</f>
        <v>0</v>
      </c>
      <c r="P89" s="33" t="str">
        <f>SUM(N89:O89)</f>
        <v>0</v>
      </c>
      <c r="Q89" s="33"/>
      <c r="R89" s="45"/>
    </row>
    <row r="90" spans="1:18" customHeight="1" ht="20">
      <c r="A90" s="41"/>
      <c r="B90" s="37"/>
      <c r="C90" s="37"/>
      <c r="D90" s="37"/>
      <c r="E90" s="35"/>
      <c r="F90" s="40"/>
      <c r="G90" s="41"/>
      <c r="H90" s="37"/>
      <c r="I90" s="33" t="str">
        <f>SUM(G90:H90)</f>
        <v>0</v>
      </c>
      <c r="J90" s="34"/>
      <c r="K90" s="41"/>
      <c r="L90" s="42"/>
      <c r="M90" s="35" t="str">
        <f>SUM(K90:L90)</f>
        <v>0</v>
      </c>
      <c r="N90" s="36" t="str">
        <f>SUM(G90+K90)</f>
        <v>0</v>
      </c>
      <c r="O90" s="37" t="str">
        <f>SUM(H90+L90)</f>
        <v>0</v>
      </c>
      <c r="P90" s="33" t="str">
        <f>SUM(N90:O90)</f>
        <v>0</v>
      </c>
      <c r="Q90" s="33"/>
      <c r="R90" s="45"/>
    </row>
    <row r="91" spans="1:18" customHeight="1" ht="20">
      <c r="A91" s="41"/>
      <c r="B91" s="37"/>
      <c r="C91" s="37"/>
      <c r="D91" s="37"/>
      <c r="E91" s="35"/>
      <c r="F91" s="40"/>
      <c r="G91" s="41"/>
      <c r="H91" s="37"/>
      <c r="I91" s="33" t="str">
        <f>SUM(G91:H91)</f>
        <v>0</v>
      </c>
      <c r="J91" s="34"/>
      <c r="K91" s="41"/>
      <c r="L91" s="42"/>
      <c r="M91" s="35" t="str">
        <f>SUM(K91:L91)</f>
        <v>0</v>
      </c>
      <c r="N91" s="36" t="str">
        <f>SUM(G91+K91)</f>
        <v>0</v>
      </c>
      <c r="O91" s="37" t="str">
        <f>SUM(H91+L91)</f>
        <v>0</v>
      </c>
      <c r="P91" s="33" t="str">
        <f>SUM(N91:O91)</f>
        <v>0</v>
      </c>
      <c r="Q91" s="33"/>
      <c r="R91" s="45"/>
    </row>
    <row r="92" spans="1:18" customHeight="1" ht="20">
      <c r="A92" s="41"/>
      <c r="B92" s="37"/>
      <c r="C92" s="37"/>
      <c r="D92" s="37"/>
      <c r="E92" s="35"/>
      <c r="F92" s="40"/>
      <c r="G92" s="41"/>
      <c r="H92" s="37"/>
      <c r="I92" s="33" t="str">
        <f>SUM(G92:H92)</f>
        <v>0</v>
      </c>
      <c r="J92" s="34"/>
      <c r="K92" s="41"/>
      <c r="L92" s="42"/>
      <c r="M92" s="35" t="str">
        <f>SUM(K92:L92)</f>
        <v>0</v>
      </c>
      <c r="N92" s="36" t="str">
        <f>SUM(G92+K92)</f>
        <v>0</v>
      </c>
      <c r="O92" s="37" t="str">
        <f>SUM(H92+L92)</f>
        <v>0</v>
      </c>
      <c r="P92" s="33" t="str">
        <f>SUM(N92:O92)</f>
        <v>0</v>
      </c>
      <c r="Q92" s="33"/>
      <c r="R92" s="45"/>
    </row>
    <row r="93" spans="1:18" customHeight="1" ht="20">
      <c r="A93" s="41"/>
      <c r="B93" s="37"/>
      <c r="C93" s="37"/>
      <c r="D93" s="37"/>
      <c r="E93" s="35"/>
      <c r="F93" s="40"/>
      <c r="G93" s="41"/>
      <c r="H93" s="37"/>
      <c r="I93" s="33" t="str">
        <f>SUM(G93:H93)</f>
        <v>0</v>
      </c>
      <c r="J93" s="34"/>
      <c r="K93" s="41"/>
      <c r="L93" s="42"/>
      <c r="M93" s="35" t="str">
        <f>SUM(K93:L93)</f>
        <v>0</v>
      </c>
      <c r="N93" s="36" t="str">
        <f>SUM(G93+K93)</f>
        <v>0</v>
      </c>
      <c r="O93" s="37" t="str">
        <f>SUM(H93+L93)</f>
        <v>0</v>
      </c>
      <c r="P93" s="33" t="str">
        <f>SUM(N93:O93)</f>
        <v>0</v>
      </c>
      <c r="Q93" s="33"/>
      <c r="R93" s="45"/>
    </row>
    <row r="94" spans="1:18" customHeight="1" ht="20">
      <c r="A94" s="41"/>
      <c r="B94" s="37"/>
      <c r="C94" s="37"/>
      <c r="D94" s="37"/>
      <c r="E94" s="35"/>
      <c r="F94" s="40"/>
      <c r="G94" s="41"/>
      <c r="H94" s="37"/>
      <c r="I94" s="33" t="str">
        <f>SUM(G94:H94)</f>
        <v>0</v>
      </c>
      <c r="J94" s="34"/>
      <c r="K94" s="41"/>
      <c r="L94" s="42"/>
      <c r="M94" s="35" t="str">
        <f>SUM(K94:L94)</f>
        <v>0</v>
      </c>
      <c r="N94" s="36" t="str">
        <f>SUM(G94+K94)</f>
        <v>0</v>
      </c>
      <c r="O94" s="37" t="str">
        <f>SUM(H94+L94)</f>
        <v>0</v>
      </c>
      <c r="P94" s="33" t="str">
        <f>SUM(N94:O94)</f>
        <v>0</v>
      </c>
      <c r="Q94" s="33"/>
      <c r="R94" s="45"/>
    </row>
    <row r="95" spans="1:18" customHeight="1" ht="20">
      <c r="A95" s="41"/>
      <c r="B95" s="37"/>
      <c r="C95" s="37"/>
      <c r="D95" s="37"/>
      <c r="E95" s="35"/>
      <c r="F95" s="40"/>
      <c r="G95" s="41"/>
      <c r="H95" s="37"/>
      <c r="I95" s="33" t="str">
        <f>SUM(G95:H95)</f>
        <v>0</v>
      </c>
      <c r="J95" s="34"/>
      <c r="K95" s="41"/>
      <c r="L95" s="42"/>
      <c r="M95" s="35" t="str">
        <f>SUM(K95:L95)</f>
        <v>0</v>
      </c>
      <c r="N95" s="36" t="str">
        <f>SUM(G95+K95)</f>
        <v>0</v>
      </c>
      <c r="O95" s="37" t="str">
        <f>SUM(H95+L95)</f>
        <v>0</v>
      </c>
      <c r="P95" s="33" t="str">
        <f>SUM(N95:O95)</f>
        <v>0</v>
      </c>
      <c r="Q95" s="33"/>
      <c r="R95" s="45"/>
    </row>
    <row r="96" spans="1:18" customHeight="1" ht="20">
      <c r="A96" s="41"/>
      <c r="B96" s="37"/>
      <c r="C96" s="37"/>
      <c r="D96" s="37"/>
      <c r="E96" s="35"/>
      <c r="F96" s="40"/>
      <c r="G96" s="41"/>
      <c r="H96" s="37"/>
      <c r="I96" s="33" t="str">
        <f>SUM(G96:H96)</f>
        <v>0</v>
      </c>
      <c r="J96" s="34"/>
      <c r="K96" s="41"/>
      <c r="L96" s="42"/>
      <c r="M96" s="35" t="str">
        <f>SUM(K96:L96)</f>
        <v>0</v>
      </c>
      <c r="N96" s="36" t="str">
        <f>SUM(G96+K96)</f>
        <v>0</v>
      </c>
      <c r="O96" s="37" t="str">
        <f>SUM(H96+L96)</f>
        <v>0</v>
      </c>
      <c r="P96" s="33" t="str">
        <f>SUM(N96:O96)</f>
        <v>0</v>
      </c>
      <c r="Q96" s="33"/>
      <c r="R96" s="45"/>
    </row>
    <row r="97" spans="1:18" customHeight="1" ht="20">
      <c r="A97" s="41"/>
      <c r="B97" s="37"/>
      <c r="C97" s="37"/>
      <c r="D97" s="37"/>
      <c r="E97" s="35"/>
      <c r="F97" s="40"/>
      <c r="G97" s="41"/>
      <c r="H97" s="37"/>
      <c r="I97" s="33" t="str">
        <f>SUM(G97:H97)</f>
        <v>0</v>
      </c>
      <c r="J97" s="34"/>
      <c r="K97" s="41"/>
      <c r="L97" s="42"/>
      <c r="M97" s="35" t="str">
        <f>SUM(K97:L97)</f>
        <v>0</v>
      </c>
      <c r="N97" s="36" t="str">
        <f>SUM(G97+K97)</f>
        <v>0</v>
      </c>
      <c r="O97" s="37" t="str">
        <f>SUM(H97+L97)</f>
        <v>0</v>
      </c>
      <c r="P97" s="33" t="str">
        <f>SUM(N97:O97)</f>
        <v>0</v>
      </c>
      <c r="Q97" s="33"/>
      <c r="R97" s="45"/>
    </row>
    <row r="98" spans="1:18" customHeight="1" ht="20">
      <c r="A98" s="41"/>
      <c r="B98" s="37"/>
      <c r="C98" s="37"/>
      <c r="D98" s="37"/>
      <c r="E98" s="35"/>
      <c r="F98" s="40"/>
      <c r="G98" s="41"/>
      <c r="H98" s="37"/>
      <c r="I98" s="33" t="str">
        <f>SUM(G98:H98)</f>
        <v>0</v>
      </c>
      <c r="J98" s="34"/>
      <c r="K98" s="41"/>
      <c r="L98" s="42"/>
      <c r="M98" s="35" t="str">
        <f>SUM(K98:L98)</f>
        <v>0</v>
      </c>
      <c r="N98" s="36" t="str">
        <f>SUM(G98+K98)</f>
        <v>0</v>
      </c>
      <c r="O98" s="37" t="str">
        <f>SUM(H98+L98)</f>
        <v>0</v>
      </c>
      <c r="P98" s="33" t="str">
        <f>SUM(N98:O98)</f>
        <v>0</v>
      </c>
      <c r="Q98" s="33"/>
      <c r="R98" s="45"/>
    </row>
    <row r="99" spans="1:18" customHeight="1" ht="20">
      <c r="A99" s="41"/>
      <c r="B99" s="37"/>
      <c r="C99" s="37"/>
      <c r="D99" s="37"/>
      <c r="E99" s="35"/>
      <c r="F99" s="40"/>
      <c r="G99" s="41"/>
      <c r="H99" s="37"/>
      <c r="I99" s="33" t="str">
        <f>SUM(G99:H99)</f>
        <v>0</v>
      </c>
      <c r="J99" s="34"/>
      <c r="K99" s="41"/>
      <c r="L99" s="42"/>
      <c r="M99" s="35" t="str">
        <f>SUM(K99:L99)</f>
        <v>0</v>
      </c>
      <c r="N99" s="36" t="str">
        <f>SUM(G99+K99)</f>
        <v>0</v>
      </c>
      <c r="O99" s="37" t="str">
        <f>SUM(H99+L99)</f>
        <v>0</v>
      </c>
      <c r="P99" s="33" t="str">
        <f>SUM(N99:O99)</f>
        <v>0</v>
      </c>
      <c r="Q99" s="33"/>
      <c r="R99" s="45"/>
    </row>
    <row r="100" spans="1:18" customHeight="1" ht="20">
      <c r="A100" s="41"/>
      <c r="B100" s="37"/>
      <c r="C100" s="37"/>
      <c r="D100" s="37"/>
      <c r="E100" s="35"/>
      <c r="F100" s="40"/>
      <c r="G100" s="41"/>
      <c r="H100" s="37"/>
      <c r="I100" s="33" t="str">
        <f>SUM(G100:H100)</f>
        <v>0</v>
      </c>
      <c r="J100" s="34"/>
      <c r="K100" s="41"/>
      <c r="L100" s="42"/>
      <c r="M100" s="35" t="str">
        <f>SUM(K100:L100)</f>
        <v>0</v>
      </c>
      <c r="N100" s="36" t="str">
        <f>SUM(G100+K100)</f>
        <v>0</v>
      </c>
      <c r="O100" s="37" t="str">
        <f>SUM(H100+L100)</f>
        <v>0</v>
      </c>
      <c r="P100" s="33" t="str">
        <f>SUM(N100:O100)</f>
        <v>0</v>
      </c>
      <c r="Q100" s="33"/>
      <c r="R100" s="45"/>
    </row>
    <row r="101" spans="1:18" customHeight="1" ht="20">
      <c r="A101" s="41"/>
      <c r="B101" s="37"/>
      <c r="C101" s="37"/>
      <c r="D101" s="37"/>
      <c r="E101" s="35"/>
      <c r="F101" s="40"/>
      <c r="G101" s="41"/>
      <c r="H101" s="37"/>
      <c r="I101" s="33" t="str">
        <f>SUM(G101:H101)</f>
        <v>0</v>
      </c>
      <c r="J101" s="34"/>
      <c r="K101" s="41"/>
      <c r="L101" s="42"/>
      <c r="M101" s="35" t="str">
        <f>SUM(K101:L101)</f>
        <v>0</v>
      </c>
      <c r="N101" s="36" t="str">
        <f>SUM(G101+K101)</f>
        <v>0</v>
      </c>
      <c r="O101" s="37" t="str">
        <f>SUM(H101+L101)</f>
        <v>0</v>
      </c>
      <c r="P101" s="33" t="str">
        <f>SUM(N101:O101)</f>
        <v>0</v>
      </c>
      <c r="Q101" s="33"/>
      <c r="R101" s="45"/>
    </row>
    <row r="102" spans="1:18" customHeight="1" ht="20">
      <c r="A102" s="41"/>
      <c r="B102" s="37"/>
      <c r="C102" s="37"/>
      <c r="D102" s="37"/>
      <c r="E102" s="35"/>
      <c r="F102" s="40"/>
      <c r="G102" s="41"/>
      <c r="H102" s="37"/>
      <c r="I102" s="33" t="str">
        <f>SUM(G102:H102)</f>
        <v>0</v>
      </c>
      <c r="J102" s="34"/>
      <c r="K102" s="41"/>
      <c r="L102" s="42"/>
      <c r="M102" s="35" t="str">
        <f>SUM(K102:L102)</f>
        <v>0</v>
      </c>
      <c r="N102" s="36" t="str">
        <f>SUM(G102+K102)</f>
        <v>0</v>
      </c>
      <c r="O102" s="37" t="str">
        <f>SUM(H102+L102)</f>
        <v>0</v>
      </c>
      <c r="P102" s="33" t="str">
        <f>SUM(N102:O102)</f>
        <v>0</v>
      </c>
      <c r="Q102" s="33"/>
      <c r="R102" s="45"/>
    </row>
    <row r="103" spans="1:18" customHeight="1" ht="20">
      <c r="A103" s="41"/>
      <c r="B103" s="37"/>
      <c r="C103" s="37"/>
      <c r="D103" s="37"/>
      <c r="E103" s="35"/>
      <c r="F103" s="40"/>
      <c r="G103" s="41"/>
      <c r="H103" s="37"/>
      <c r="I103" s="33" t="str">
        <f>SUM(G103:H103)</f>
        <v>0</v>
      </c>
      <c r="J103" s="34"/>
      <c r="K103" s="41"/>
      <c r="L103" s="42"/>
      <c r="M103" s="35" t="str">
        <f>SUM(K103:L103)</f>
        <v>0</v>
      </c>
      <c r="N103" s="36" t="str">
        <f>SUM(G103+K103)</f>
        <v>0</v>
      </c>
      <c r="O103" s="37" t="str">
        <f>SUM(H103+L103)</f>
        <v>0</v>
      </c>
      <c r="P103" s="33" t="str">
        <f>SUM(N103:O103)</f>
        <v>0</v>
      </c>
      <c r="Q103" s="33"/>
      <c r="R103" s="45"/>
    </row>
    <row r="104" spans="1:18" customHeight="1" ht="20">
      <c r="A104" s="41"/>
      <c r="B104" s="37"/>
      <c r="C104" s="37"/>
      <c r="D104" s="37"/>
      <c r="E104" s="35"/>
      <c r="F104" s="40"/>
      <c r="G104" s="41"/>
      <c r="H104" s="37"/>
      <c r="I104" s="33" t="str">
        <f>SUM(G104:H104)</f>
        <v>0</v>
      </c>
      <c r="J104" s="34"/>
      <c r="K104" s="41"/>
      <c r="L104" s="42"/>
      <c r="M104" s="35" t="str">
        <f>SUM(K104:L104)</f>
        <v>0</v>
      </c>
      <c r="N104" s="36" t="str">
        <f>SUM(G104+K104)</f>
        <v>0</v>
      </c>
      <c r="O104" s="37" t="str">
        <f>SUM(H104+L104)</f>
        <v>0</v>
      </c>
      <c r="P104" s="33" t="str">
        <f>SUM(N104:O104)</f>
        <v>0</v>
      </c>
      <c r="Q104" s="33"/>
      <c r="R104" s="45"/>
    </row>
    <row r="105" spans="1:18" customHeight="1" ht="20">
      <c r="A105" s="41"/>
      <c r="B105" s="37"/>
      <c r="C105" s="37"/>
      <c r="D105" s="37"/>
      <c r="E105" s="35"/>
      <c r="F105" s="40"/>
      <c r="G105" s="41"/>
      <c r="H105" s="37"/>
      <c r="I105" s="33" t="str">
        <f>SUM(G105:H105)</f>
        <v>0</v>
      </c>
      <c r="J105" s="34"/>
      <c r="K105" s="41"/>
      <c r="L105" s="42"/>
      <c r="M105" s="35" t="str">
        <f>SUM(K105:L105)</f>
        <v>0</v>
      </c>
      <c r="N105" s="36" t="str">
        <f>SUM(G105+K105)</f>
        <v>0</v>
      </c>
      <c r="O105" s="37" t="str">
        <f>SUM(H105+L105)</f>
        <v>0</v>
      </c>
      <c r="P105" s="33" t="str">
        <f>SUM(N105:O105)</f>
        <v>0</v>
      </c>
      <c r="Q105" s="33"/>
      <c r="R105" s="45"/>
    </row>
    <row r="106" spans="1:18" customHeight="1" ht="20">
      <c r="A106" s="41"/>
      <c r="B106" s="37"/>
      <c r="C106" s="37"/>
      <c r="D106" s="37"/>
      <c r="E106" s="35"/>
      <c r="F106" s="40"/>
      <c r="G106" s="41"/>
      <c r="H106" s="37"/>
      <c r="I106" s="33" t="str">
        <f>SUM(G106:H106)</f>
        <v>0</v>
      </c>
      <c r="J106" s="34"/>
      <c r="K106" s="41"/>
      <c r="L106" s="42"/>
      <c r="M106" s="35" t="str">
        <f>SUM(K106:L106)</f>
        <v>0</v>
      </c>
      <c r="N106" s="36" t="str">
        <f>SUM(G106+K106)</f>
        <v>0</v>
      </c>
      <c r="O106" s="37" t="str">
        <f>SUM(H106+L106)</f>
        <v>0</v>
      </c>
      <c r="P106" s="33" t="str">
        <f>SUM(N106:O106)</f>
        <v>0</v>
      </c>
      <c r="Q106" s="33"/>
      <c r="R106" s="45"/>
    </row>
    <row r="107" spans="1:18" customHeight="1" ht="20">
      <c r="A107" s="41"/>
      <c r="B107" s="37"/>
      <c r="C107" s="37"/>
      <c r="D107" s="37"/>
      <c r="E107" s="35"/>
      <c r="F107" s="40"/>
      <c r="G107" s="41"/>
      <c r="H107" s="37"/>
      <c r="I107" s="33" t="str">
        <f>SUM(G107:H107)</f>
        <v>0</v>
      </c>
      <c r="J107" s="34"/>
      <c r="K107" s="41"/>
      <c r="L107" s="42"/>
      <c r="M107" s="35" t="str">
        <f>SUM(K107:L107)</f>
        <v>0</v>
      </c>
      <c r="N107" s="36" t="str">
        <f>SUM(G107+K107)</f>
        <v>0</v>
      </c>
      <c r="O107" s="37" t="str">
        <f>SUM(H107+L107)</f>
        <v>0</v>
      </c>
      <c r="P107" s="33" t="str">
        <f>SUM(N107:O107)</f>
        <v>0</v>
      </c>
      <c r="Q107" s="33"/>
      <c r="R107" s="45"/>
    </row>
    <row r="108" spans="1:18" customHeight="1" ht="20">
      <c r="A108" s="41"/>
      <c r="B108" s="37"/>
      <c r="C108" s="37"/>
      <c r="D108" s="37"/>
      <c r="E108" s="35"/>
      <c r="F108" s="40"/>
      <c r="G108" s="41"/>
      <c r="H108" s="37"/>
      <c r="I108" s="33" t="str">
        <f>SUM(G108:H108)</f>
        <v>0</v>
      </c>
      <c r="J108" s="34"/>
      <c r="K108" s="41"/>
      <c r="L108" s="42"/>
      <c r="M108" s="35" t="str">
        <f>SUM(K108:L108)</f>
        <v>0</v>
      </c>
      <c r="N108" s="36" t="str">
        <f>SUM(G108+K108)</f>
        <v>0</v>
      </c>
      <c r="O108" s="37" t="str">
        <f>SUM(H108+L108)</f>
        <v>0</v>
      </c>
      <c r="P108" s="33" t="str">
        <f>SUM(N108:O108)</f>
        <v>0</v>
      </c>
      <c r="Q108" s="33"/>
      <c r="R108" s="45"/>
    </row>
    <row r="109" spans="1:18" customHeight="1" ht="20">
      <c r="A109" s="41"/>
      <c r="B109" s="37"/>
      <c r="C109" s="37"/>
      <c r="D109" s="37"/>
      <c r="E109" s="35"/>
      <c r="F109" s="40"/>
      <c r="G109" s="41"/>
      <c r="H109" s="37"/>
      <c r="I109" s="33" t="str">
        <f>SUM(G109:H109)</f>
        <v>0</v>
      </c>
      <c r="J109" s="34"/>
      <c r="K109" s="41"/>
      <c r="L109" s="42"/>
      <c r="M109" s="35" t="str">
        <f>SUM(K109:L109)</f>
        <v>0</v>
      </c>
      <c r="N109" s="36" t="str">
        <f>SUM(G109+K109)</f>
        <v>0</v>
      </c>
      <c r="O109" s="37" t="str">
        <f>SUM(H109+L109)</f>
        <v>0</v>
      </c>
      <c r="P109" s="33" t="str">
        <f>SUM(N109:O109)</f>
        <v>0</v>
      </c>
      <c r="Q109" s="33"/>
      <c r="R109" s="45"/>
    </row>
    <row r="110" spans="1:18" customHeight="1" ht="20">
      <c r="A110" s="41"/>
      <c r="B110" s="37"/>
      <c r="C110" s="37"/>
      <c r="D110" s="37"/>
      <c r="E110" s="35"/>
      <c r="F110" s="40"/>
      <c r="G110" s="41"/>
      <c r="H110" s="37"/>
      <c r="I110" s="33" t="str">
        <f>SUM(G110:H110)</f>
        <v>0</v>
      </c>
      <c r="J110" s="34"/>
      <c r="K110" s="41"/>
      <c r="L110" s="42"/>
      <c r="M110" s="35" t="str">
        <f>SUM(K110:L110)</f>
        <v>0</v>
      </c>
      <c r="N110" s="36" t="str">
        <f>SUM(G110+K110)</f>
        <v>0</v>
      </c>
      <c r="O110" s="37" t="str">
        <f>SUM(H110+L110)</f>
        <v>0</v>
      </c>
      <c r="P110" s="33" t="str">
        <f>SUM(N110:O110)</f>
        <v>0</v>
      </c>
      <c r="Q110" s="33"/>
      <c r="R110" s="45"/>
    </row>
    <row r="111" spans="1:18" customHeight="1" ht="20">
      <c r="A111" s="41"/>
      <c r="B111" s="37"/>
      <c r="C111" s="37"/>
      <c r="D111" s="37"/>
      <c r="E111" s="35"/>
      <c r="F111" s="40"/>
      <c r="G111" s="41"/>
      <c r="H111" s="37"/>
      <c r="I111" s="33" t="str">
        <f>SUM(G111:H111)</f>
        <v>0</v>
      </c>
      <c r="J111" s="34"/>
      <c r="K111" s="41"/>
      <c r="L111" s="42"/>
      <c r="M111" s="35" t="str">
        <f>SUM(K111:L111)</f>
        <v>0</v>
      </c>
      <c r="N111" s="36" t="str">
        <f>SUM(G111+K111)</f>
        <v>0</v>
      </c>
      <c r="O111" s="37" t="str">
        <f>SUM(H111+L111)</f>
        <v>0</v>
      </c>
      <c r="P111" s="33" t="str">
        <f>SUM(N111:O111)</f>
        <v>0</v>
      </c>
      <c r="Q111" s="33"/>
      <c r="R111" s="45"/>
    </row>
    <row r="112" spans="1:18" customHeight="1" ht="20">
      <c r="A112" s="41"/>
      <c r="B112" s="37"/>
      <c r="C112" s="37"/>
      <c r="D112" s="37"/>
      <c r="E112" s="35"/>
      <c r="F112" s="40"/>
      <c r="G112" s="41"/>
      <c r="H112" s="37"/>
      <c r="I112" s="33" t="str">
        <f>SUM(G112:H112)</f>
        <v>0</v>
      </c>
      <c r="J112" s="34"/>
      <c r="K112" s="41"/>
      <c r="L112" s="42"/>
      <c r="M112" s="35" t="str">
        <f>SUM(K112:L112)</f>
        <v>0</v>
      </c>
      <c r="N112" s="36" t="str">
        <f>SUM(G112+K112)</f>
        <v>0</v>
      </c>
      <c r="O112" s="37" t="str">
        <f>SUM(H112+L112)</f>
        <v>0</v>
      </c>
      <c r="P112" s="33" t="str">
        <f>SUM(N112:O112)</f>
        <v>0</v>
      </c>
      <c r="Q112" s="33"/>
      <c r="R112" s="45"/>
    </row>
    <row r="113" spans="1:18" customHeight="1" ht="20">
      <c r="A113" s="41"/>
      <c r="B113" s="37"/>
      <c r="C113" s="37"/>
      <c r="D113" s="37"/>
      <c r="E113" s="35"/>
      <c r="F113" s="40"/>
      <c r="G113" s="41"/>
      <c r="H113" s="37"/>
      <c r="I113" s="33" t="str">
        <f>SUM(G113:H113)</f>
        <v>0</v>
      </c>
      <c r="J113" s="34"/>
      <c r="K113" s="41"/>
      <c r="L113" s="42"/>
      <c r="M113" s="35" t="str">
        <f>SUM(K113:L113)</f>
        <v>0</v>
      </c>
      <c r="N113" s="36" t="str">
        <f>SUM(G113+K113)</f>
        <v>0</v>
      </c>
      <c r="O113" s="37" t="str">
        <f>SUM(H113+L113)</f>
        <v>0</v>
      </c>
      <c r="P113" s="33" t="str">
        <f>SUM(N113:O113)</f>
        <v>0</v>
      </c>
      <c r="Q113" s="33"/>
      <c r="R113" s="45"/>
    </row>
    <row r="114" spans="1:18" customHeight="1" ht="20">
      <c r="A114" s="41"/>
      <c r="B114" s="37"/>
      <c r="C114" s="37"/>
      <c r="D114" s="37"/>
      <c r="E114" s="35"/>
      <c r="F114" s="40"/>
      <c r="G114" s="41"/>
      <c r="H114" s="37"/>
      <c r="I114" s="33" t="str">
        <f>SUM(G114:H114)</f>
        <v>0</v>
      </c>
      <c r="J114" s="34"/>
      <c r="K114" s="41"/>
      <c r="L114" s="42"/>
      <c r="M114" s="35" t="str">
        <f>SUM(K114:L114)</f>
        <v>0</v>
      </c>
      <c r="N114" s="36" t="str">
        <f>SUM(G114+K114)</f>
        <v>0</v>
      </c>
      <c r="O114" s="37" t="str">
        <f>SUM(H114+L114)</f>
        <v>0</v>
      </c>
      <c r="P114" s="33" t="str">
        <f>SUM(N114:O114)</f>
        <v>0</v>
      </c>
      <c r="Q114" s="33"/>
      <c r="R114" s="45"/>
    </row>
    <row r="115" spans="1:18" customHeight="1" ht="20">
      <c r="A115" s="41"/>
      <c r="B115" s="37"/>
      <c r="C115" s="37"/>
      <c r="D115" s="37"/>
      <c r="E115" s="35"/>
      <c r="F115" s="40"/>
      <c r="G115" s="41"/>
      <c r="H115" s="37"/>
      <c r="I115" s="33" t="str">
        <f>SUM(G115:H115)</f>
        <v>0</v>
      </c>
      <c r="J115" s="34"/>
      <c r="K115" s="41"/>
      <c r="L115" s="42"/>
      <c r="M115" s="35" t="str">
        <f>SUM(K115:L115)</f>
        <v>0</v>
      </c>
      <c r="N115" s="36" t="str">
        <f>SUM(G115+K115)</f>
        <v>0</v>
      </c>
      <c r="O115" s="37" t="str">
        <f>SUM(H115+L115)</f>
        <v>0</v>
      </c>
      <c r="P115" s="33" t="str">
        <f>SUM(N115:O115)</f>
        <v>0</v>
      </c>
      <c r="Q115" s="33"/>
      <c r="R115" s="45"/>
    </row>
    <row r="116" spans="1:18" customHeight="1" ht="20">
      <c r="A116" s="41"/>
      <c r="B116" s="37"/>
      <c r="C116" s="37"/>
      <c r="D116" s="37"/>
      <c r="E116" s="35"/>
      <c r="F116" s="40"/>
      <c r="G116" s="41"/>
      <c r="H116" s="37"/>
      <c r="I116" s="33" t="str">
        <f>SUM(G116:H116)</f>
        <v>0</v>
      </c>
      <c r="J116" s="34"/>
      <c r="K116" s="41"/>
      <c r="L116" s="42"/>
      <c r="M116" s="35" t="str">
        <f>SUM(K116:L116)</f>
        <v>0</v>
      </c>
      <c r="N116" s="36" t="str">
        <f>SUM(G116+K116)</f>
        <v>0</v>
      </c>
      <c r="O116" s="37" t="str">
        <f>SUM(H116+L116)</f>
        <v>0</v>
      </c>
      <c r="P116" s="33" t="str">
        <f>SUM(N116:O116)</f>
        <v>0</v>
      </c>
      <c r="Q116" s="33"/>
      <c r="R116" s="45"/>
    </row>
    <row r="117" spans="1:18" customHeight="1" ht="20">
      <c r="A117" s="41"/>
      <c r="B117" s="37"/>
      <c r="C117" s="37"/>
      <c r="D117" s="37"/>
      <c r="E117" s="35"/>
      <c r="F117" s="40"/>
      <c r="G117" s="41"/>
      <c r="H117" s="37"/>
      <c r="I117" s="33" t="str">
        <f>SUM(G117:H117)</f>
        <v>0</v>
      </c>
      <c r="J117" s="34"/>
      <c r="K117" s="41"/>
      <c r="L117" s="42"/>
      <c r="M117" s="35" t="str">
        <f>SUM(K117:L117)</f>
        <v>0</v>
      </c>
      <c r="N117" s="36" t="str">
        <f>SUM(G117+K117)</f>
        <v>0</v>
      </c>
      <c r="O117" s="37" t="str">
        <f>SUM(H117+L117)</f>
        <v>0</v>
      </c>
      <c r="P117" s="33" t="str">
        <f>SUM(N117:O117)</f>
        <v>0</v>
      </c>
      <c r="Q117" s="33"/>
      <c r="R117" s="45"/>
    </row>
    <row r="118" spans="1:18" customHeight="1" ht="20">
      <c r="A118" s="41"/>
      <c r="B118" s="37"/>
      <c r="C118" s="37"/>
      <c r="D118" s="37"/>
      <c r="E118" s="35"/>
      <c r="F118" s="40"/>
      <c r="G118" s="41"/>
      <c r="H118" s="37"/>
      <c r="I118" s="33" t="str">
        <f>SUM(G118:H118)</f>
        <v>0</v>
      </c>
      <c r="J118" s="34"/>
      <c r="K118" s="41"/>
      <c r="L118" s="42"/>
      <c r="M118" s="35" t="str">
        <f>SUM(K118:L118)</f>
        <v>0</v>
      </c>
      <c r="N118" s="36" t="str">
        <f>SUM(G118+K118)</f>
        <v>0</v>
      </c>
      <c r="O118" s="37" t="str">
        <f>SUM(H118+L118)</f>
        <v>0</v>
      </c>
      <c r="P118" s="33" t="str">
        <f>SUM(N118:O118)</f>
        <v>0</v>
      </c>
      <c r="Q118" s="33"/>
      <c r="R118" s="45"/>
    </row>
    <row r="119" spans="1:18" customHeight="1" ht="20">
      <c r="A119" s="41"/>
      <c r="B119" s="37"/>
      <c r="C119" s="37"/>
      <c r="D119" s="37"/>
      <c r="E119" s="35"/>
      <c r="F119" s="40"/>
      <c r="G119" s="41"/>
      <c r="H119" s="37"/>
      <c r="I119" s="33" t="str">
        <f>SUM(G119:H119)</f>
        <v>0</v>
      </c>
      <c r="J119" s="34"/>
      <c r="K119" s="41"/>
      <c r="L119" s="42"/>
      <c r="M119" s="35" t="str">
        <f>SUM(K119:L119)</f>
        <v>0</v>
      </c>
      <c r="N119" s="36" t="str">
        <f>SUM(G119+K119)</f>
        <v>0</v>
      </c>
      <c r="O119" s="37" t="str">
        <f>SUM(H119+L119)</f>
        <v>0</v>
      </c>
      <c r="P119" s="33" t="str">
        <f>SUM(N119:O119)</f>
        <v>0</v>
      </c>
      <c r="Q119" s="33"/>
      <c r="R119" s="45"/>
    </row>
    <row r="120" spans="1:18" customHeight="1" ht="20">
      <c r="A120" s="41"/>
      <c r="B120" s="37"/>
      <c r="C120" s="37"/>
      <c r="D120" s="37"/>
      <c r="E120" s="35"/>
      <c r="F120" s="40"/>
      <c r="G120" s="41"/>
      <c r="H120" s="37"/>
      <c r="I120" s="33" t="str">
        <f>SUM(G120:H120)</f>
        <v>0</v>
      </c>
      <c r="J120" s="34"/>
      <c r="K120" s="41"/>
      <c r="L120" s="42"/>
      <c r="M120" s="35" t="str">
        <f>SUM(K120:L120)</f>
        <v>0</v>
      </c>
      <c r="N120" s="36" t="str">
        <f>SUM(G120+K120)</f>
        <v>0</v>
      </c>
      <c r="O120" s="37" t="str">
        <f>SUM(H120+L120)</f>
        <v>0</v>
      </c>
      <c r="P120" s="33" t="str">
        <f>SUM(N120:O120)</f>
        <v>0</v>
      </c>
      <c r="Q120" s="33"/>
      <c r="R120" s="45"/>
    </row>
    <row r="121" spans="1:18" customHeight="1" ht="20">
      <c r="A121" s="41"/>
      <c r="B121" s="37"/>
      <c r="C121" s="37"/>
      <c r="D121" s="37"/>
      <c r="E121" s="35"/>
      <c r="F121" s="40"/>
      <c r="G121" s="41"/>
      <c r="H121" s="37"/>
      <c r="I121" s="33" t="str">
        <f>SUM(G121:H121)</f>
        <v>0</v>
      </c>
      <c r="J121" s="34"/>
      <c r="K121" s="41"/>
      <c r="L121" s="42"/>
      <c r="M121" s="35" t="str">
        <f>SUM(K121:L121)</f>
        <v>0</v>
      </c>
      <c r="N121" s="36" t="str">
        <f>SUM(G121+K121)</f>
        <v>0</v>
      </c>
      <c r="O121" s="37" t="str">
        <f>SUM(H121+L121)</f>
        <v>0</v>
      </c>
      <c r="P121" s="33" t="str">
        <f>SUM(N121:O121)</f>
        <v>0</v>
      </c>
      <c r="Q121" s="33"/>
      <c r="R121" s="45"/>
    </row>
    <row r="122" spans="1:18" customHeight="1" ht="20">
      <c r="A122" s="41"/>
      <c r="B122" s="37"/>
      <c r="C122" s="37"/>
      <c r="D122" s="37"/>
      <c r="E122" s="35"/>
      <c r="F122" s="40"/>
      <c r="G122" s="41"/>
      <c r="H122" s="37"/>
      <c r="I122" s="33" t="str">
        <f>SUM(G122:H122)</f>
        <v>0</v>
      </c>
      <c r="J122" s="34"/>
      <c r="K122" s="41"/>
      <c r="L122" s="42"/>
      <c r="M122" s="35" t="str">
        <f>SUM(K122:L122)</f>
        <v>0</v>
      </c>
      <c r="N122" s="36" t="str">
        <f>SUM(G122+K122)</f>
        <v>0</v>
      </c>
      <c r="O122" s="37" t="str">
        <f>SUM(H122+L122)</f>
        <v>0</v>
      </c>
      <c r="P122" s="33" t="str">
        <f>SUM(N122:O122)</f>
        <v>0</v>
      </c>
      <c r="Q122" s="33"/>
      <c r="R122" s="45"/>
    </row>
    <row r="123" spans="1:18" customHeight="1" ht="20">
      <c r="A123" s="41"/>
      <c r="B123" s="37"/>
      <c r="C123" s="37"/>
      <c r="D123" s="37"/>
      <c r="E123" s="35"/>
      <c r="F123" s="40"/>
      <c r="G123" s="41"/>
      <c r="H123" s="37"/>
      <c r="I123" s="33" t="str">
        <f>SUM(G123:H123)</f>
        <v>0</v>
      </c>
      <c r="J123" s="34"/>
      <c r="K123" s="41"/>
      <c r="L123" s="42"/>
      <c r="M123" s="35" t="str">
        <f>SUM(K123:L123)</f>
        <v>0</v>
      </c>
      <c r="N123" s="36" t="str">
        <f>SUM(G123+K123)</f>
        <v>0</v>
      </c>
      <c r="O123" s="37" t="str">
        <f>SUM(H123+L123)</f>
        <v>0</v>
      </c>
      <c r="P123" s="33" t="str">
        <f>SUM(N123:O123)</f>
        <v>0</v>
      </c>
      <c r="Q123" s="33"/>
      <c r="R123" s="45"/>
    </row>
    <row r="124" spans="1:18" customHeight="1" ht="20">
      <c r="A124" s="41"/>
      <c r="B124" s="37"/>
      <c r="C124" s="37"/>
      <c r="D124" s="37"/>
      <c r="E124" s="35"/>
      <c r="F124" s="40"/>
      <c r="G124" s="41"/>
      <c r="H124" s="37"/>
      <c r="I124" s="33" t="str">
        <f>SUM(G124:H124)</f>
        <v>0</v>
      </c>
      <c r="J124" s="34"/>
      <c r="K124" s="41"/>
      <c r="L124" s="42"/>
      <c r="M124" s="35" t="str">
        <f>SUM(K124:L124)</f>
        <v>0</v>
      </c>
      <c r="N124" s="36" t="str">
        <f>SUM(G124+K124)</f>
        <v>0</v>
      </c>
      <c r="O124" s="37" t="str">
        <f>SUM(H124+L124)</f>
        <v>0</v>
      </c>
      <c r="P124" s="33" t="str">
        <f>SUM(N124:O124)</f>
        <v>0</v>
      </c>
      <c r="Q124" s="33"/>
      <c r="R124" s="45"/>
    </row>
    <row r="125" spans="1:18" customHeight="1" ht="20">
      <c r="A125" s="41"/>
      <c r="B125" s="37"/>
      <c r="C125" s="37"/>
      <c r="D125" s="37"/>
      <c r="E125" s="35"/>
      <c r="F125" s="40"/>
      <c r="G125" s="41"/>
      <c r="H125" s="37"/>
      <c r="I125" s="33" t="str">
        <f>SUM(G125:H125)</f>
        <v>0</v>
      </c>
      <c r="J125" s="34"/>
      <c r="K125" s="41"/>
      <c r="L125" s="42"/>
      <c r="M125" s="35" t="str">
        <f>SUM(K125:L125)</f>
        <v>0</v>
      </c>
      <c r="N125" s="36" t="str">
        <f>SUM(G125+K125)</f>
        <v>0</v>
      </c>
      <c r="O125" s="37" t="str">
        <f>SUM(H125+L125)</f>
        <v>0</v>
      </c>
      <c r="P125" s="33" t="str">
        <f>SUM(N125:O125)</f>
        <v>0</v>
      </c>
      <c r="Q125" s="33"/>
      <c r="R125" s="45"/>
    </row>
    <row r="126" spans="1:18" customHeight="1" ht="20">
      <c r="A126" s="41"/>
      <c r="B126" s="37"/>
      <c r="C126" s="37"/>
      <c r="D126" s="37"/>
      <c r="E126" s="35"/>
      <c r="F126" s="40"/>
      <c r="G126" s="41"/>
      <c r="H126" s="37"/>
      <c r="I126" s="33" t="str">
        <f>SUM(G126:H126)</f>
        <v>0</v>
      </c>
      <c r="J126" s="34"/>
      <c r="K126" s="41"/>
      <c r="L126" s="42"/>
      <c r="M126" s="35" t="str">
        <f>SUM(K126:L126)</f>
        <v>0</v>
      </c>
      <c r="N126" s="36" t="str">
        <f>SUM(G126+K126)</f>
        <v>0</v>
      </c>
      <c r="O126" s="37" t="str">
        <f>SUM(H126+L126)</f>
        <v>0</v>
      </c>
      <c r="P126" s="33" t="str">
        <f>SUM(N126:O126)</f>
        <v>0</v>
      </c>
      <c r="Q126" s="33"/>
      <c r="R126" s="45"/>
    </row>
    <row r="127" spans="1:18" customHeight="1" ht="20">
      <c r="A127" s="41"/>
      <c r="B127" s="37"/>
      <c r="C127" s="37"/>
      <c r="D127" s="37"/>
      <c r="E127" s="35"/>
      <c r="F127" s="40"/>
      <c r="G127" s="41"/>
      <c r="H127" s="37"/>
      <c r="I127" s="33" t="str">
        <f>SUM(G127:H127)</f>
        <v>0</v>
      </c>
      <c r="J127" s="34"/>
      <c r="K127" s="41"/>
      <c r="L127" s="42"/>
      <c r="M127" s="35" t="str">
        <f>SUM(K127:L127)</f>
        <v>0</v>
      </c>
      <c r="N127" s="36" t="str">
        <f>SUM(G127+K127)</f>
        <v>0</v>
      </c>
      <c r="O127" s="37" t="str">
        <f>SUM(H127+L127)</f>
        <v>0</v>
      </c>
      <c r="P127" s="33" t="str">
        <f>SUM(N127:O127)</f>
        <v>0</v>
      </c>
      <c r="Q127" s="33"/>
      <c r="R127" s="45"/>
    </row>
    <row r="128" spans="1:18" customHeight="1" ht="20">
      <c r="A128" s="41"/>
      <c r="B128" s="37"/>
      <c r="C128" s="37"/>
      <c r="D128" s="37"/>
      <c r="E128" s="35"/>
      <c r="F128" s="40"/>
      <c r="G128" s="41"/>
      <c r="H128" s="37"/>
      <c r="I128" s="33" t="str">
        <f>SUM(G128:H128)</f>
        <v>0</v>
      </c>
      <c r="J128" s="34"/>
      <c r="K128" s="41"/>
      <c r="L128" s="42"/>
      <c r="M128" s="35" t="str">
        <f>SUM(K128:L128)</f>
        <v>0</v>
      </c>
      <c r="N128" s="36" t="str">
        <f>SUM(G128+K128)</f>
        <v>0</v>
      </c>
      <c r="O128" s="37" t="str">
        <f>SUM(H128+L128)</f>
        <v>0</v>
      </c>
      <c r="P128" s="33" t="str">
        <f>SUM(N128:O128)</f>
        <v>0</v>
      </c>
      <c r="Q128" s="33"/>
      <c r="R128" s="45"/>
    </row>
    <row r="129" spans="1:18" customHeight="1" ht="20">
      <c r="A129" s="41"/>
      <c r="B129" s="37"/>
      <c r="C129" s="37"/>
      <c r="D129" s="37"/>
      <c r="E129" s="35"/>
      <c r="F129" s="40"/>
      <c r="G129" s="41"/>
      <c r="H129" s="37"/>
      <c r="I129" s="33" t="str">
        <f>SUM(G129:H129)</f>
        <v>0</v>
      </c>
      <c r="J129" s="34"/>
      <c r="K129" s="41"/>
      <c r="L129" s="42"/>
      <c r="M129" s="35" t="str">
        <f>SUM(K129:L129)</f>
        <v>0</v>
      </c>
      <c r="N129" s="36" t="str">
        <f>SUM(G129+K129)</f>
        <v>0</v>
      </c>
      <c r="O129" s="37" t="str">
        <f>SUM(H129+L129)</f>
        <v>0</v>
      </c>
      <c r="P129" s="33" t="str">
        <f>SUM(N129:O129)</f>
        <v>0</v>
      </c>
      <c r="Q129" s="33"/>
      <c r="R129" s="45"/>
    </row>
    <row r="130" spans="1:18" customHeight="1" ht="20">
      <c r="A130" s="41"/>
      <c r="B130" s="37"/>
      <c r="C130" s="37"/>
      <c r="D130" s="37"/>
      <c r="E130" s="35"/>
      <c r="F130" s="40"/>
      <c r="G130" s="41"/>
      <c r="H130" s="37"/>
      <c r="I130" s="33" t="str">
        <f>SUM(G130:H130)</f>
        <v>0</v>
      </c>
      <c r="J130" s="34"/>
      <c r="K130" s="41"/>
      <c r="L130" s="42"/>
      <c r="M130" s="35" t="str">
        <f>SUM(K130:L130)</f>
        <v>0</v>
      </c>
      <c r="N130" s="36" t="str">
        <f>SUM(G130+K130)</f>
        <v>0</v>
      </c>
      <c r="O130" s="37" t="str">
        <f>SUM(H130+L130)</f>
        <v>0</v>
      </c>
      <c r="P130" s="33" t="str">
        <f>SUM(N130:O130)</f>
        <v>0</v>
      </c>
      <c r="Q130" s="33"/>
      <c r="R130" s="45"/>
    </row>
    <row r="131" spans="1:18" customHeight="1" ht="20">
      <c r="A131" s="41"/>
      <c r="B131" s="37"/>
      <c r="C131" s="37"/>
      <c r="D131" s="37"/>
      <c r="E131" s="35"/>
      <c r="F131" s="40"/>
      <c r="G131" s="41"/>
      <c r="H131" s="37"/>
      <c r="I131" s="33" t="str">
        <f>SUM(G131:H131)</f>
        <v>0</v>
      </c>
      <c r="J131" s="34"/>
      <c r="K131" s="41"/>
      <c r="L131" s="42"/>
      <c r="M131" s="35" t="str">
        <f>SUM(K131:L131)</f>
        <v>0</v>
      </c>
      <c r="N131" s="36" t="str">
        <f>SUM(G131+K131)</f>
        <v>0</v>
      </c>
      <c r="O131" s="37" t="str">
        <f>SUM(H131+L131)</f>
        <v>0</v>
      </c>
      <c r="P131" s="33" t="str">
        <f>SUM(N131:O131)</f>
        <v>0</v>
      </c>
      <c r="Q131" s="33"/>
      <c r="R131" s="45"/>
    </row>
    <row r="132" spans="1:18" customHeight="1" ht="20">
      <c r="A132" s="41"/>
      <c r="B132" s="37"/>
      <c r="C132" s="37"/>
      <c r="D132" s="37"/>
      <c r="E132" s="35"/>
      <c r="F132" s="40"/>
      <c r="G132" s="41"/>
      <c r="H132" s="37"/>
      <c r="I132" s="33" t="str">
        <f>SUM(G132:H132)</f>
        <v>0</v>
      </c>
      <c r="J132" s="34"/>
      <c r="K132" s="41"/>
      <c r="L132" s="42"/>
      <c r="M132" s="35" t="str">
        <f>SUM(K132:L132)</f>
        <v>0</v>
      </c>
      <c r="N132" s="36" t="str">
        <f>SUM(G132+K132)</f>
        <v>0</v>
      </c>
      <c r="O132" s="37" t="str">
        <f>SUM(H132+L132)</f>
        <v>0</v>
      </c>
      <c r="P132" s="33" t="str">
        <f>SUM(N132:O132)</f>
        <v>0</v>
      </c>
      <c r="Q132" s="33"/>
      <c r="R132" s="45"/>
    </row>
    <row r="133" spans="1:18" customHeight="1" ht="20">
      <c r="A133" s="41"/>
      <c r="B133" s="37"/>
      <c r="C133" s="37"/>
      <c r="D133" s="37"/>
      <c r="E133" s="35"/>
      <c r="F133" s="40"/>
      <c r="G133" s="41"/>
      <c r="H133" s="37"/>
      <c r="I133" s="33" t="str">
        <f>SUM(G133:H133)</f>
        <v>0</v>
      </c>
      <c r="J133" s="34"/>
      <c r="K133" s="41"/>
      <c r="L133" s="42"/>
      <c r="M133" s="35" t="str">
        <f>SUM(K133:L133)</f>
        <v>0</v>
      </c>
      <c r="N133" s="36" t="str">
        <f>SUM(G133+K133)</f>
        <v>0</v>
      </c>
      <c r="O133" s="37" t="str">
        <f>SUM(H133+L133)</f>
        <v>0</v>
      </c>
      <c r="P133" s="33" t="str">
        <f>SUM(N133:O133)</f>
        <v>0</v>
      </c>
      <c r="Q133" s="33"/>
      <c r="R133" s="45"/>
    </row>
    <row r="134" spans="1:18" customHeight="1" ht="20">
      <c r="A134" s="41"/>
      <c r="B134" s="37"/>
      <c r="C134" s="37"/>
      <c r="D134" s="37"/>
      <c r="E134" s="35"/>
      <c r="F134" s="40"/>
      <c r="G134" s="41"/>
      <c r="H134" s="37"/>
      <c r="I134" s="33" t="str">
        <f>SUM(G134:H134)</f>
        <v>0</v>
      </c>
      <c r="J134" s="34"/>
      <c r="K134" s="41"/>
      <c r="L134" s="42"/>
      <c r="M134" s="35" t="str">
        <f>SUM(K134:L134)</f>
        <v>0</v>
      </c>
      <c r="N134" s="36" t="str">
        <f>SUM(G134+K134)</f>
        <v>0</v>
      </c>
      <c r="O134" s="37" t="str">
        <f>SUM(H134+L134)</f>
        <v>0</v>
      </c>
      <c r="P134" s="33" t="str">
        <f>SUM(N134:O134)</f>
        <v>0</v>
      </c>
      <c r="Q134" s="33"/>
      <c r="R134" s="45"/>
    </row>
    <row r="135" spans="1:18" customHeight="1" ht="20">
      <c r="A135" s="41"/>
      <c r="B135" s="37"/>
      <c r="C135" s="37"/>
      <c r="D135" s="37"/>
      <c r="E135" s="35"/>
      <c r="F135" s="40"/>
      <c r="G135" s="41"/>
      <c r="H135" s="37"/>
      <c r="I135" s="33" t="str">
        <f>SUM(G135:H135)</f>
        <v>0</v>
      </c>
      <c r="J135" s="34"/>
      <c r="K135" s="41"/>
      <c r="L135" s="42"/>
      <c r="M135" s="35" t="str">
        <f>SUM(K135:L135)</f>
        <v>0</v>
      </c>
      <c r="N135" s="36" t="str">
        <f>SUM(G135+K135)</f>
        <v>0</v>
      </c>
      <c r="O135" s="37" t="str">
        <f>SUM(H135+L135)</f>
        <v>0</v>
      </c>
      <c r="P135" s="33" t="str">
        <f>SUM(N135:O135)</f>
        <v>0</v>
      </c>
      <c r="Q135" s="33"/>
      <c r="R135" s="45"/>
    </row>
    <row r="136" spans="1:18" customHeight="1" ht="20">
      <c r="A136" s="41"/>
      <c r="B136" s="37"/>
      <c r="C136" s="37"/>
      <c r="D136" s="37"/>
      <c r="E136" s="35"/>
      <c r="F136" s="40"/>
      <c r="G136" s="41"/>
      <c r="H136" s="37"/>
      <c r="I136" s="33" t="str">
        <f>SUM(G136:H136)</f>
        <v>0</v>
      </c>
      <c r="J136" s="34"/>
      <c r="K136" s="41"/>
      <c r="L136" s="42"/>
      <c r="M136" s="35" t="str">
        <f>SUM(K136:L136)</f>
        <v>0</v>
      </c>
      <c r="N136" s="36" t="str">
        <f>SUM(G136+K136)</f>
        <v>0</v>
      </c>
      <c r="O136" s="37" t="str">
        <f>SUM(H136+L136)</f>
        <v>0</v>
      </c>
      <c r="P136" s="33" t="str">
        <f>SUM(N136:O136)</f>
        <v>0</v>
      </c>
      <c r="Q136" s="33"/>
      <c r="R136" s="45"/>
    </row>
    <row r="137" spans="1:18" customHeight="1" ht="20">
      <c r="A137" s="41"/>
      <c r="B137" s="37"/>
      <c r="C137" s="37"/>
      <c r="D137" s="37"/>
      <c r="E137" s="35"/>
      <c r="F137" s="40"/>
      <c r="G137" s="41"/>
      <c r="H137" s="37"/>
      <c r="I137" s="33" t="str">
        <f>SUM(G137:H137)</f>
        <v>0</v>
      </c>
      <c r="J137" s="34"/>
      <c r="K137" s="41"/>
      <c r="L137" s="42"/>
      <c r="M137" s="35" t="str">
        <f>SUM(K137:L137)</f>
        <v>0</v>
      </c>
      <c r="N137" s="36" t="str">
        <f>SUM(G137+K137)</f>
        <v>0</v>
      </c>
      <c r="O137" s="37" t="str">
        <f>SUM(H137+L137)</f>
        <v>0</v>
      </c>
      <c r="P137" s="33" t="str">
        <f>SUM(N137:O137)</f>
        <v>0</v>
      </c>
      <c r="Q137" s="33"/>
      <c r="R137" s="45"/>
    </row>
    <row r="138" spans="1:18" customHeight="1" ht="20">
      <c r="A138" s="41"/>
      <c r="B138" s="37"/>
      <c r="C138" s="37"/>
      <c r="D138" s="37"/>
      <c r="E138" s="35"/>
      <c r="F138" s="40"/>
      <c r="G138" s="41"/>
      <c r="H138" s="37"/>
      <c r="I138" s="33" t="str">
        <f>SUM(G138:H138)</f>
        <v>0</v>
      </c>
      <c r="J138" s="34"/>
      <c r="K138" s="41"/>
      <c r="L138" s="42"/>
      <c r="M138" s="35" t="str">
        <f>SUM(K138:L138)</f>
        <v>0</v>
      </c>
      <c r="N138" s="36" t="str">
        <f>SUM(G138+K138)</f>
        <v>0</v>
      </c>
      <c r="O138" s="37" t="str">
        <f>SUM(H138+L138)</f>
        <v>0</v>
      </c>
      <c r="P138" s="33" t="str">
        <f>SUM(N138:O138)</f>
        <v>0</v>
      </c>
      <c r="Q138" s="33"/>
      <c r="R138" s="45"/>
    </row>
    <row r="139" spans="1:18" customHeight="1" ht="20">
      <c r="A139" s="41"/>
      <c r="B139" s="37"/>
      <c r="C139" s="37"/>
      <c r="D139" s="37"/>
      <c r="E139" s="35"/>
      <c r="F139" s="40"/>
      <c r="G139" s="41"/>
      <c r="H139" s="37"/>
      <c r="I139" s="33" t="str">
        <f>SUM(G139:H139)</f>
        <v>0</v>
      </c>
      <c r="J139" s="34"/>
      <c r="K139" s="41"/>
      <c r="L139" s="42"/>
      <c r="M139" s="35" t="str">
        <f>SUM(K139:L139)</f>
        <v>0</v>
      </c>
      <c r="N139" s="36" t="str">
        <f>SUM(G139+K139)</f>
        <v>0</v>
      </c>
      <c r="O139" s="37" t="str">
        <f>SUM(H139+L139)</f>
        <v>0</v>
      </c>
      <c r="P139" s="33" t="str">
        <f>SUM(N139:O139)</f>
        <v>0</v>
      </c>
      <c r="Q139" s="33"/>
      <c r="R139" s="45"/>
    </row>
    <row r="140" spans="1:18" customHeight="1" ht="20">
      <c r="A140" s="41"/>
      <c r="B140" s="37"/>
      <c r="C140" s="37"/>
      <c r="D140" s="37"/>
      <c r="E140" s="35"/>
      <c r="F140" s="40"/>
      <c r="G140" s="41"/>
      <c r="H140" s="37"/>
      <c r="I140" s="33" t="str">
        <f>SUM(G140:H140)</f>
        <v>0</v>
      </c>
      <c r="J140" s="34"/>
      <c r="K140" s="41"/>
      <c r="L140" s="42"/>
      <c r="M140" s="35" t="str">
        <f>SUM(K140:L140)</f>
        <v>0</v>
      </c>
      <c r="N140" s="36" t="str">
        <f>SUM(G140+K140)</f>
        <v>0</v>
      </c>
      <c r="O140" s="37" t="str">
        <f>SUM(H140+L140)</f>
        <v>0</v>
      </c>
      <c r="P140" s="33" t="str">
        <f>SUM(N140:O140)</f>
        <v>0</v>
      </c>
      <c r="Q140" s="33"/>
      <c r="R140" s="45"/>
    </row>
    <row r="141" spans="1:18" customHeight="1" ht="20">
      <c r="A141" s="41"/>
      <c r="B141" s="37"/>
      <c r="C141" s="37"/>
      <c r="D141" s="37"/>
      <c r="E141" s="35"/>
      <c r="F141" s="40"/>
      <c r="G141" s="41"/>
      <c r="H141" s="37"/>
      <c r="I141" s="33" t="str">
        <f>SUM(G141:H141)</f>
        <v>0</v>
      </c>
      <c r="J141" s="34"/>
      <c r="K141" s="41"/>
      <c r="L141" s="42"/>
      <c r="M141" s="35" t="str">
        <f>SUM(K141:L141)</f>
        <v>0</v>
      </c>
      <c r="N141" s="36" t="str">
        <f>SUM(G141+K141)</f>
        <v>0</v>
      </c>
      <c r="O141" s="37" t="str">
        <f>SUM(H141+L141)</f>
        <v>0</v>
      </c>
      <c r="P141" s="33" t="str">
        <f>SUM(N141:O141)</f>
        <v>0</v>
      </c>
      <c r="Q141" s="33"/>
      <c r="R141" s="45"/>
    </row>
    <row r="142" spans="1:18" customHeight="1" ht="20">
      <c r="A142" s="41"/>
      <c r="B142" s="37"/>
      <c r="C142" s="37"/>
      <c r="D142" s="37"/>
      <c r="E142" s="35"/>
      <c r="F142" s="40"/>
      <c r="G142" s="41"/>
      <c r="H142" s="37"/>
      <c r="I142" s="33" t="str">
        <f>SUM(G142:H142)</f>
        <v>0</v>
      </c>
      <c r="J142" s="34"/>
      <c r="K142" s="41"/>
      <c r="L142" s="42"/>
      <c r="M142" s="35" t="str">
        <f>SUM(K142:L142)</f>
        <v>0</v>
      </c>
      <c r="N142" s="36" t="str">
        <f>SUM(G142+K142)</f>
        <v>0</v>
      </c>
      <c r="O142" s="37" t="str">
        <f>SUM(H142+L142)</f>
        <v>0</v>
      </c>
      <c r="P142" s="33" t="str">
        <f>SUM(N142:O142)</f>
        <v>0</v>
      </c>
      <c r="Q142" s="33"/>
      <c r="R142" s="45"/>
    </row>
    <row r="143" spans="1:18" customHeight="1" ht="20">
      <c r="A143" s="41"/>
      <c r="B143" s="37"/>
      <c r="C143" s="37"/>
      <c r="D143" s="37"/>
      <c r="E143" s="35"/>
      <c r="F143" s="40"/>
      <c r="G143" s="41"/>
      <c r="H143" s="37"/>
      <c r="I143" s="33" t="str">
        <f>SUM(G143:H143)</f>
        <v>0</v>
      </c>
      <c r="J143" s="34"/>
      <c r="K143" s="41"/>
      <c r="L143" s="42"/>
      <c r="M143" s="35" t="str">
        <f>SUM(K143:L143)</f>
        <v>0</v>
      </c>
      <c r="N143" s="36" t="str">
        <f>SUM(G143+K143)</f>
        <v>0</v>
      </c>
      <c r="O143" s="37" t="str">
        <f>SUM(H143+L143)</f>
        <v>0</v>
      </c>
      <c r="P143" s="33" t="str">
        <f>SUM(N143:O143)</f>
        <v>0</v>
      </c>
      <c r="Q143" s="33"/>
      <c r="R143" s="45"/>
    </row>
    <row r="144" spans="1:18" customHeight="1" ht="20">
      <c r="A144" s="41"/>
      <c r="B144" s="37"/>
      <c r="C144" s="37"/>
      <c r="D144" s="37"/>
      <c r="E144" s="35"/>
      <c r="F144" s="40"/>
      <c r="G144" s="41"/>
      <c r="H144" s="37"/>
      <c r="I144" s="33" t="str">
        <f>SUM(G144:H144)</f>
        <v>0</v>
      </c>
      <c r="J144" s="34"/>
      <c r="K144" s="41"/>
      <c r="L144" s="42"/>
      <c r="M144" s="35" t="str">
        <f>SUM(K144:L144)</f>
        <v>0</v>
      </c>
      <c r="N144" s="36" t="str">
        <f>SUM(G144+K144)</f>
        <v>0</v>
      </c>
      <c r="O144" s="37" t="str">
        <f>SUM(H144+L144)</f>
        <v>0</v>
      </c>
      <c r="P144" s="33" t="str">
        <f>SUM(N144:O144)</f>
        <v>0</v>
      </c>
      <c r="Q144" s="33"/>
      <c r="R144" s="51"/>
    </row>
    <row r="145" spans="1:18" customHeight="1" ht="20">
      <c r="A145" s="41"/>
      <c r="B145" s="37"/>
      <c r="C145" s="37"/>
      <c r="D145" s="37"/>
      <c r="E145" s="35"/>
      <c r="F145" s="40"/>
      <c r="G145" s="41"/>
      <c r="H145" s="37"/>
      <c r="I145" s="33" t="str">
        <f>SUM(G145:H145)</f>
        <v>0</v>
      </c>
      <c r="J145" s="34"/>
      <c r="K145" s="41"/>
      <c r="L145" s="42"/>
      <c r="M145" s="35" t="str">
        <f>SUM(K145:L145)</f>
        <v>0</v>
      </c>
      <c r="N145" s="36" t="str">
        <f>SUM(G145+K145)</f>
        <v>0</v>
      </c>
      <c r="O145" s="37" t="str">
        <f>SUM(H145+L145)</f>
        <v>0</v>
      </c>
      <c r="P145" s="33" t="str">
        <f>SUM(N145:O145)</f>
        <v>0</v>
      </c>
      <c r="Q145" s="33"/>
      <c r="R145" s="51"/>
    </row>
    <row r="146" spans="1:18" customHeight="1" ht="20">
      <c r="A146" s="41"/>
      <c r="B146" s="37"/>
      <c r="C146" s="37"/>
      <c r="D146" s="37"/>
      <c r="E146" s="35"/>
      <c r="F146" s="40"/>
      <c r="G146" s="41"/>
      <c r="H146" s="37"/>
      <c r="I146" s="33" t="str">
        <f>SUM(G146:H146)</f>
        <v>0</v>
      </c>
      <c r="J146" s="34"/>
      <c r="K146" s="41"/>
      <c r="L146" s="42"/>
      <c r="M146" s="35" t="str">
        <f>SUM(K146:L146)</f>
        <v>0</v>
      </c>
      <c r="N146" s="36" t="str">
        <f>SUM(G146+K146)</f>
        <v>0</v>
      </c>
      <c r="O146" s="37" t="str">
        <f>SUM(H146+L146)</f>
        <v>0</v>
      </c>
      <c r="P146" s="33" t="str">
        <f>SUM(N146:O146)</f>
        <v>0</v>
      </c>
      <c r="Q146" s="33"/>
      <c r="R146" s="51"/>
    </row>
    <row r="147" spans="1:18" customHeight="1" ht="20">
      <c r="A147" s="41"/>
      <c r="B147" s="37"/>
      <c r="C147" s="37"/>
      <c r="D147" s="37"/>
      <c r="E147" s="35"/>
      <c r="F147" s="40"/>
      <c r="G147" s="41"/>
      <c r="H147" s="37"/>
      <c r="I147" s="33" t="str">
        <f>SUM(G147:H147)</f>
        <v>0</v>
      </c>
      <c r="J147" s="34"/>
      <c r="K147" s="41"/>
      <c r="L147" s="42"/>
      <c r="M147" s="35" t="str">
        <f>SUM(K147:L147)</f>
        <v>0</v>
      </c>
      <c r="N147" s="36" t="str">
        <f>SUM(G147+K147)</f>
        <v>0</v>
      </c>
      <c r="O147" s="37" t="str">
        <f>SUM(H147+L147)</f>
        <v>0</v>
      </c>
      <c r="P147" s="33" t="str">
        <f>SUM(N147:O147)</f>
        <v>0</v>
      </c>
      <c r="Q147" s="33"/>
      <c r="R147" s="51"/>
    </row>
    <row r="148" spans="1:18" customHeight="1" ht="20">
      <c r="A148" s="41"/>
      <c r="B148" s="37"/>
      <c r="C148" s="37"/>
      <c r="D148" s="37"/>
      <c r="E148" s="35"/>
      <c r="F148" s="40"/>
      <c r="G148" s="41"/>
      <c r="H148" s="37"/>
      <c r="I148" s="33" t="str">
        <f>SUM(G148:H148)</f>
        <v>0</v>
      </c>
      <c r="J148" s="34"/>
      <c r="K148" s="41"/>
      <c r="L148" s="42"/>
      <c r="M148" s="35" t="str">
        <f>SUM(K148:L148)</f>
        <v>0</v>
      </c>
      <c r="N148" s="36" t="str">
        <f>SUM(G148+K148)</f>
        <v>0</v>
      </c>
      <c r="O148" s="37" t="str">
        <f>SUM(H148+L148)</f>
        <v>0</v>
      </c>
      <c r="P148" s="33" t="str">
        <f>SUM(N148:O148)</f>
        <v>0</v>
      </c>
      <c r="Q148" s="33"/>
      <c r="R148" s="51"/>
    </row>
    <row r="149" spans="1:18" customHeight="1" ht="20">
      <c r="A149" s="41"/>
      <c r="B149" s="37"/>
      <c r="C149" s="37"/>
      <c r="D149" s="37"/>
      <c r="E149" s="35"/>
      <c r="F149" s="40"/>
      <c r="G149" s="41"/>
      <c r="H149" s="37"/>
      <c r="I149" s="33" t="str">
        <f>SUM(G149:H149)</f>
        <v>0</v>
      </c>
      <c r="J149" s="34"/>
      <c r="K149" s="41"/>
      <c r="L149" s="42"/>
      <c r="M149" s="35" t="str">
        <f>SUM(K149:L149)</f>
        <v>0</v>
      </c>
      <c r="N149" s="36" t="str">
        <f>SUM(G149+K149)</f>
        <v>0</v>
      </c>
      <c r="O149" s="37" t="str">
        <f>SUM(H149+L149)</f>
        <v>0</v>
      </c>
      <c r="P149" s="33" t="str">
        <f>SUM(N149:O149)</f>
        <v>0</v>
      </c>
      <c r="Q149" s="33"/>
      <c r="R149" s="51"/>
    </row>
    <row r="150" spans="1:18" customHeight="1" ht="20">
      <c r="A150" s="41"/>
      <c r="B150" s="37"/>
      <c r="C150" s="37"/>
      <c r="D150" s="37"/>
      <c r="E150" s="35"/>
      <c r="F150" s="40"/>
      <c r="G150" s="41"/>
      <c r="H150" s="37"/>
      <c r="I150" s="33" t="str">
        <f>SUM(G150:H150)</f>
        <v>0</v>
      </c>
      <c r="J150" s="34"/>
      <c r="K150" s="41"/>
      <c r="L150" s="42"/>
      <c r="M150" s="35" t="str">
        <f>SUM(K150:L150)</f>
        <v>0</v>
      </c>
      <c r="N150" s="36" t="str">
        <f>SUM(G150+K150)</f>
        <v>0</v>
      </c>
      <c r="O150" s="37" t="str">
        <f>SUM(H150+L150)</f>
        <v>0</v>
      </c>
      <c r="P150" s="33" t="str">
        <f>SUM(N150:O150)</f>
        <v>0</v>
      </c>
      <c r="Q150" s="33"/>
      <c r="R150" s="51"/>
    </row>
    <row r="151" spans="1:18" customHeight="1" ht="20">
      <c r="A151" s="41"/>
      <c r="B151" s="37"/>
      <c r="C151" s="37"/>
      <c r="D151" s="37"/>
      <c r="E151" s="35"/>
      <c r="F151" s="40"/>
      <c r="G151" s="41"/>
      <c r="H151" s="37"/>
      <c r="I151" s="33" t="str">
        <f>SUM(G151:H151)</f>
        <v>0</v>
      </c>
      <c r="J151" s="34"/>
      <c r="K151" s="41"/>
      <c r="L151" s="42"/>
      <c r="M151" s="35" t="str">
        <f>SUM(K151:L151)</f>
        <v>0</v>
      </c>
      <c r="N151" s="36" t="str">
        <f>SUM(G151+K151)</f>
        <v>0</v>
      </c>
      <c r="O151" s="37" t="str">
        <f>SUM(H151+L151)</f>
        <v>0</v>
      </c>
      <c r="P151" s="33" t="str">
        <f>SUM(N151:O151)</f>
        <v>0</v>
      </c>
      <c r="Q151" s="33"/>
      <c r="R151" s="51"/>
    </row>
    <row r="152" spans="1:18" customHeight="1" ht="20">
      <c r="A152" s="41"/>
      <c r="B152" s="37"/>
      <c r="C152" s="37"/>
      <c r="D152" s="37"/>
      <c r="E152" s="35"/>
      <c r="F152" s="40"/>
      <c r="G152" s="41"/>
      <c r="H152" s="37"/>
      <c r="I152" s="33" t="str">
        <f>SUM(G152:H152)</f>
        <v>0</v>
      </c>
      <c r="J152" s="34"/>
      <c r="K152" s="41"/>
      <c r="L152" s="42"/>
      <c r="M152" s="35" t="str">
        <f>SUM(K152:L152)</f>
        <v>0</v>
      </c>
      <c r="N152" s="36" t="str">
        <f>SUM(G152+K152)</f>
        <v>0</v>
      </c>
      <c r="O152" s="37" t="str">
        <f>SUM(H152+L152)</f>
        <v>0</v>
      </c>
      <c r="P152" s="33" t="str">
        <f>SUM(N152:O152)</f>
        <v>0</v>
      </c>
      <c r="Q152" s="33"/>
      <c r="R152" s="51"/>
    </row>
    <row r="153" spans="1:18" customHeight="1" ht="20">
      <c r="A153" s="41"/>
      <c r="B153" s="37"/>
      <c r="C153" s="37"/>
      <c r="D153" s="37"/>
      <c r="E153" s="35"/>
      <c r="F153" s="40"/>
      <c r="G153" s="41"/>
      <c r="H153" s="37"/>
      <c r="I153" s="33" t="str">
        <f>SUM(G153:H153)</f>
        <v>0</v>
      </c>
      <c r="J153" s="34"/>
      <c r="K153" s="41"/>
      <c r="L153" s="42"/>
      <c r="M153" s="35" t="str">
        <f>SUM(K153:L153)</f>
        <v>0</v>
      </c>
      <c r="N153" s="36" t="str">
        <f>SUM(G153+K153)</f>
        <v>0</v>
      </c>
      <c r="O153" s="37" t="str">
        <f>SUM(H153+L153)</f>
        <v>0</v>
      </c>
      <c r="P153" s="33" t="str">
        <f>SUM(N153:O153)</f>
        <v>0</v>
      </c>
      <c r="Q153" s="33"/>
      <c r="R153" s="51"/>
    </row>
    <row r="154" spans="1:18" customHeight="1" ht="20">
      <c r="A154" s="41"/>
      <c r="B154" s="37"/>
      <c r="C154" s="37"/>
      <c r="D154" s="37"/>
      <c r="E154" s="35"/>
      <c r="F154" s="40"/>
      <c r="G154" s="41"/>
      <c r="H154" s="37"/>
      <c r="I154" s="33" t="str">
        <f>SUM(G154:H154)</f>
        <v>0</v>
      </c>
      <c r="J154" s="34"/>
      <c r="K154" s="41"/>
      <c r="L154" s="42"/>
      <c r="M154" s="35" t="str">
        <f>SUM(K154:L154)</f>
        <v>0</v>
      </c>
      <c r="N154" s="36" t="str">
        <f>SUM(G154+K154)</f>
        <v>0</v>
      </c>
      <c r="O154" s="37" t="str">
        <f>SUM(H154+L154)</f>
        <v>0</v>
      </c>
      <c r="P154" s="33" t="str">
        <f>SUM(N154:O154)</f>
        <v>0</v>
      </c>
      <c r="Q154" s="33"/>
      <c r="R154" s="51"/>
    </row>
    <row r="155" spans="1:18" customHeight="1" ht="20">
      <c r="A155" s="41"/>
      <c r="B155" s="37"/>
      <c r="C155" s="37"/>
      <c r="D155" s="37"/>
      <c r="E155" s="35"/>
      <c r="F155" s="40"/>
      <c r="G155" s="41"/>
      <c r="H155" s="37"/>
      <c r="I155" s="33" t="str">
        <f>SUM(G155:H155)</f>
        <v>0</v>
      </c>
      <c r="J155" s="34"/>
      <c r="K155" s="41"/>
      <c r="L155" s="42"/>
      <c r="M155" s="35" t="str">
        <f>SUM(K155:L155)</f>
        <v>0</v>
      </c>
      <c r="N155" s="36" t="str">
        <f>SUM(G155+K155)</f>
        <v>0</v>
      </c>
      <c r="O155" s="37" t="str">
        <f>SUM(H155+L155)</f>
        <v>0</v>
      </c>
      <c r="P155" s="33" t="str">
        <f>SUM(N155:O155)</f>
        <v>0</v>
      </c>
      <c r="Q155" s="33"/>
      <c r="R155" s="51"/>
    </row>
    <row r="156" spans="1:18" customHeight="1" ht="20">
      <c r="A156" s="41"/>
      <c r="B156" s="37"/>
      <c r="C156" s="37"/>
      <c r="D156" s="37"/>
      <c r="E156" s="35"/>
      <c r="F156" s="40"/>
      <c r="G156" s="41"/>
      <c r="H156" s="37"/>
      <c r="I156" s="33" t="str">
        <f>SUM(G156:H156)</f>
        <v>0</v>
      </c>
      <c r="J156" s="34"/>
      <c r="K156" s="41"/>
      <c r="L156" s="42"/>
      <c r="M156" s="35" t="str">
        <f>SUM(K156:L156)</f>
        <v>0</v>
      </c>
      <c r="N156" s="36" t="str">
        <f>SUM(G156+K156)</f>
        <v>0</v>
      </c>
      <c r="O156" s="37" t="str">
        <f>SUM(H156+L156)</f>
        <v>0</v>
      </c>
      <c r="P156" s="33" t="str">
        <f>SUM(N156:O156)</f>
        <v>0</v>
      </c>
      <c r="Q156" s="33"/>
      <c r="R156" s="51"/>
    </row>
    <row r="157" spans="1:18" customHeight="1" ht="20">
      <c r="A157" s="41"/>
      <c r="B157" s="37"/>
      <c r="C157" s="37"/>
      <c r="D157" s="37"/>
      <c r="E157" s="35"/>
      <c r="F157" s="40"/>
      <c r="G157" s="41"/>
      <c r="H157" s="37"/>
      <c r="I157" s="33" t="str">
        <f>SUM(G157:H157)</f>
        <v>0</v>
      </c>
      <c r="J157" s="34"/>
      <c r="K157" s="41"/>
      <c r="L157" s="42"/>
      <c r="M157" s="35" t="str">
        <f>SUM(K157:L157)</f>
        <v>0</v>
      </c>
      <c r="N157" s="36" t="str">
        <f>SUM(G157+K157)</f>
        <v>0</v>
      </c>
      <c r="O157" s="37" t="str">
        <f>SUM(H157+L157)</f>
        <v>0</v>
      </c>
      <c r="P157" s="33" t="str">
        <f>SUM(N157:O157)</f>
        <v>0</v>
      </c>
      <c r="Q157" s="33"/>
      <c r="R157" s="51"/>
    </row>
    <row r="158" spans="1:18" customHeight="1" ht="20">
      <c r="A158" s="41"/>
      <c r="B158" s="37"/>
      <c r="C158" s="37"/>
      <c r="D158" s="37"/>
      <c r="E158" s="35"/>
      <c r="F158" s="40"/>
      <c r="G158" s="41"/>
      <c r="H158" s="37"/>
      <c r="I158" s="33" t="str">
        <f>SUM(G158:H158)</f>
        <v>0</v>
      </c>
      <c r="J158" s="34"/>
      <c r="K158" s="41"/>
      <c r="L158" s="42"/>
      <c r="M158" s="35" t="str">
        <f>SUM(K158:L158)</f>
        <v>0</v>
      </c>
      <c r="N158" s="36" t="str">
        <f>SUM(G158+K158)</f>
        <v>0</v>
      </c>
      <c r="O158" s="37" t="str">
        <f>SUM(H158+L158)</f>
        <v>0</v>
      </c>
      <c r="P158" s="33" t="str">
        <f>SUM(N158:O158)</f>
        <v>0</v>
      </c>
      <c r="Q158" s="33"/>
      <c r="R158" s="51"/>
    </row>
    <row r="159" spans="1:18" customHeight="1" ht="20">
      <c r="A159" s="41"/>
      <c r="B159" s="37"/>
      <c r="C159" s="37"/>
      <c r="D159" s="37"/>
      <c r="E159" s="35"/>
      <c r="F159" s="40"/>
      <c r="G159" s="41"/>
      <c r="H159" s="37"/>
      <c r="I159" s="33" t="str">
        <f>SUM(G159:H159)</f>
        <v>0</v>
      </c>
      <c r="J159" s="34"/>
      <c r="K159" s="41"/>
      <c r="L159" s="42"/>
      <c r="M159" s="35" t="str">
        <f>SUM(K159:L159)</f>
        <v>0</v>
      </c>
      <c r="N159" s="36" t="str">
        <f>SUM(G159+K159)</f>
        <v>0</v>
      </c>
      <c r="O159" s="37" t="str">
        <f>SUM(H159+L159)</f>
        <v>0</v>
      </c>
      <c r="P159" s="33" t="str">
        <f>SUM(N159:O159)</f>
        <v>0</v>
      </c>
      <c r="Q159" s="33"/>
      <c r="R159" s="51"/>
    </row>
    <row r="160" spans="1:18" customHeight="1" ht="20">
      <c r="A160" s="41"/>
      <c r="B160" s="37"/>
      <c r="C160" s="37"/>
      <c r="D160" s="37"/>
      <c r="E160" s="35"/>
      <c r="F160" s="40"/>
      <c r="G160" s="41"/>
      <c r="H160" s="37"/>
      <c r="I160" s="33" t="str">
        <f>SUM(G160:H160)</f>
        <v>0</v>
      </c>
      <c r="J160" s="34"/>
      <c r="K160" s="41"/>
      <c r="L160" s="42"/>
      <c r="M160" s="35" t="str">
        <f>SUM(K160:L160)</f>
        <v>0</v>
      </c>
      <c r="N160" s="36" t="str">
        <f>SUM(G160+K160)</f>
        <v>0</v>
      </c>
      <c r="O160" s="37" t="str">
        <f>SUM(H160+L160)</f>
        <v>0</v>
      </c>
      <c r="P160" s="33" t="str">
        <f>SUM(N160:O160)</f>
        <v>0</v>
      </c>
      <c r="Q160" s="33"/>
      <c r="R160" s="51"/>
    </row>
    <row r="161" spans="1:18" customHeight="1" ht="20">
      <c r="A161" s="41"/>
      <c r="B161" s="37"/>
      <c r="C161" s="37"/>
      <c r="D161" s="37"/>
      <c r="E161" s="35"/>
      <c r="F161" s="40"/>
      <c r="G161" s="41"/>
      <c r="H161" s="37"/>
      <c r="I161" s="33" t="str">
        <f>SUM(G161:H161)</f>
        <v>0</v>
      </c>
      <c r="J161" s="34"/>
      <c r="K161" s="41"/>
      <c r="L161" s="42"/>
      <c r="M161" s="35" t="str">
        <f>SUM(K161:L161)</f>
        <v>0</v>
      </c>
      <c r="N161" s="36" t="str">
        <f>SUM(G161+K161)</f>
        <v>0</v>
      </c>
      <c r="O161" s="37" t="str">
        <f>SUM(H161+L161)</f>
        <v>0</v>
      </c>
      <c r="P161" s="33" t="str">
        <f>SUM(N161:O161)</f>
        <v>0</v>
      </c>
      <c r="Q161" s="33"/>
      <c r="R161" s="51"/>
    </row>
    <row r="162" spans="1:18" customHeight="1" ht="20">
      <c r="A162" s="41"/>
      <c r="B162" s="37"/>
      <c r="C162" s="37"/>
      <c r="D162" s="37"/>
      <c r="E162" s="35"/>
      <c r="F162" s="40"/>
      <c r="G162" s="41"/>
      <c r="H162" s="37"/>
      <c r="I162" s="33" t="str">
        <f>SUM(G162:H162)</f>
        <v>0</v>
      </c>
      <c r="J162" s="34"/>
      <c r="K162" s="41"/>
      <c r="L162" s="42"/>
      <c r="M162" s="35" t="str">
        <f>SUM(K162:L162)</f>
        <v>0</v>
      </c>
      <c r="N162" s="36" t="str">
        <f>SUM(G162+K162)</f>
        <v>0</v>
      </c>
      <c r="O162" s="37" t="str">
        <f>SUM(H162+L162)</f>
        <v>0</v>
      </c>
      <c r="P162" s="33" t="str">
        <f>SUM(N162:O162)</f>
        <v>0</v>
      </c>
      <c r="Q162" s="33"/>
      <c r="R162" s="51"/>
    </row>
    <row r="163" spans="1:18" customHeight="1" ht="20">
      <c r="A163" s="41"/>
      <c r="B163" s="37"/>
      <c r="C163" s="37"/>
      <c r="D163" s="37"/>
      <c r="E163" s="35"/>
      <c r="F163" s="40"/>
      <c r="G163" s="41"/>
      <c r="H163" s="37"/>
      <c r="I163" s="33" t="str">
        <f>SUM(G163:H163)</f>
        <v>0</v>
      </c>
      <c r="J163" s="34"/>
      <c r="K163" s="41"/>
      <c r="L163" s="42"/>
      <c r="M163" s="35" t="str">
        <f>SUM(K163:L163)</f>
        <v>0</v>
      </c>
      <c r="N163" s="36" t="str">
        <f>SUM(G163+K163)</f>
        <v>0</v>
      </c>
      <c r="O163" s="37" t="str">
        <f>SUM(H163+L163)</f>
        <v>0</v>
      </c>
      <c r="P163" s="33" t="str">
        <f>SUM(N163:O163)</f>
        <v>0</v>
      </c>
      <c r="Q163" s="33"/>
      <c r="R163" s="51"/>
    </row>
    <row r="164" spans="1:18" customHeight="1" ht="20">
      <c r="A164" s="41"/>
      <c r="B164" s="37"/>
      <c r="C164" s="37"/>
      <c r="D164" s="37"/>
      <c r="E164" s="35"/>
      <c r="F164" s="40"/>
      <c r="G164" s="41"/>
      <c r="H164" s="37"/>
      <c r="I164" s="33" t="str">
        <f>SUM(G164:H164)</f>
        <v>0</v>
      </c>
      <c r="J164" s="34"/>
      <c r="K164" s="41"/>
      <c r="L164" s="42"/>
      <c r="M164" s="35" t="str">
        <f>SUM(K164:L164)</f>
        <v>0</v>
      </c>
      <c r="N164" s="36" t="str">
        <f>SUM(G164+K164)</f>
        <v>0</v>
      </c>
      <c r="O164" s="37" t="str">
        <f>SUM(H164+L164)</f>
        <v>0</v>
      </c>
      <c r="P164" s="33" t="str">
        <f>SUM(N164:O164)</f>
        <v>0</v>
      </c>
      <c r="Q164" s="33"/>
      <c r="R164" s="51"/>
    </row>
    <row r="165" spans="1:18" customHeight="1" ht="20">
      <c r="A165" s="41"/>
      <c r="B165" s="37"/>
      <c r="C165" s="37"/>
      <c r="D165" s="37"/>
      <c r="E165" s="35"/>
      <c r="F165" s="40"/>
      <c r="G165" s="41"/>
      <c r="H165" s="37"/>
      <c r="I165" s="33" t="str">
        <f>SUM(G165:H165)</f>
        <v>0</v>
      </c>
      <c r="J165" s="34"/>
      <c r="K165" s="41"/>
      <c r="L165" s="42"/>
      <c r="M165" s="35" t="str">
        <f>SUM(K165:L165)</f>
        <v>0</v>
      </c>
      <c r="N165" s="36" t="str">
        <f>SUM(G165+K165)</f>
        <v>0</v>
      </c>
      <c r="O165" s="37" t="str">
        <f>SUM(H165+L165)</f>
        <v>0</v>
      </c>
      <c r="P165" s="33" t="str">
        <f>SUM(N165:O165)</f>
        <v>0</v>
      </c>
      <c r="Q165" s="33"/>
      <c r="R165" s="51"/>
    </row>
    <row r="166" spans="1:18" customHeight="1" ht="20">
      <c r="A166" s="41"/>
      <c r="B166" s="37"/>
      <c r="C166" s="37"/>
      <c r="D166" s="37"/>
      <c r="E166" s="35"/>
      <c r="F166" s="40"/>
      <c r="G166" s="41"/>
      <c r="H166" s="37"/>
      <c r="I166" s="33" t="str">
        <f>SUM(G166:H166)</f>
        <v>0</v>
      </c>
      <c r="J166" s="34"/>
      <c r="K166" s="41"/>
      <c r="L166" s="42"/>
      <c r="M166" s="35" t="str">
        <f>SUM(K166:L166)</f>
        <v>0</v>
      </c>
      <c r="N166" s="36" t="str">
        <f>SUM(G166+K166)</f>
        <v>0</v>
      </c>
      <c r="O166" s="37" t="str">
        <f>SUM(H166+L166)</f>
        <v>0</v>
      </c>
      <c r="P166" s="33" t="str">
        <f>SUM(N166:O166)</f>
        <v>0</v>
      </c>
      <c r="Q166" s="33"/>
      <c r="R166" s="51"/>
    </row>
    <row r="167" spans="1:18" customHeight="1" ht="20">
      <c r="A167" s="41"/>
      <c r="B167" s="37"/>
      <c r="C167" s="37"/>
      <c r="D167" s="37"/>
      <c r="E167" s="35"/>
      <c r="F167" s="40"/>
      <c r="G167" s="41"/>
      <c r="H167" s="37"/>
      <c r="I167" s="33" t="str">
        <f>SUM(G167:H167)</f>
        <v>0</v>
      </c>
      <c r="J167" s="34"/>
      <c r="K167" s="41"/>
      <c r="L167" s="42"/>
      <c r="M167" s="35" t="str">
        <f>SUM(K167:L167)</f>
        <v>0</v>
      </c>
      <c r="N167" s="36" t="str">
        <f>SUM(G167+K167)</f>
        <v>0</v>
      </c>
      <c r="O167" s="37" t="str">
        <f>SUM(H167+L167)</f>
        <v>0</v>
      </c>
      <c r="P167" s="33" t="str">
        <f>SUM(N167:O167)</f>
        <v>0</v>
      </c>
      <c r="Q167" s="33"/>
      <c r="R167" s="51"/>
    </row>
    <row r="168" spans="1:18" customHeight="1" ht="20">
      <c r="A168" s="41"/>
      <c r="B168" s="37"/>
      <c r="C168" s="37"/>
      <c r="D168" s="37"/>
      <c r="E168" s="35"/>
      <c r="F168" s="40"/>
      <c r="G168" s="41"/>
      <c r="H168" s="37"/>
      <c r="I168" s="33" t="str">
        <f>SUM(G168:H168)</f>
        <v>0</v>
      </c>
      <c r="J168" s="34"/>
      <c r="K168" s="41"/>
      <c r="L168" s="42"/>
      <c r="M168" s="35" t="str">
        <f>SUM(K168:L168)</f>
        <v>0</v>
      </c>
      <c r="N168" s="36" t="str">
        <f>SUM(G168+K168)</f>
        <v>0</v>
      </c>
      <c r="O168" s="37" t="str">
        <f>SUM(H168+L168)</f>
        <v>0</v>
      </c>
      <c r="P168" s="33" t="str">
        <f>SUM(N168:O168)</f>
        <v>0</v>
      </c>
      <c r="Q168" s="33"/>
      <c r="R168" s="51"/>
    </row>
    <row r="169" spans="1:18" customHeight="1" ht="20">
      <c r="A169" s="41"/>
      <c r="B169" s="37"/>
      <c r="C169" s="37"/>
      <c r="D169" s="37"/>
      <c r="E169" s="35"/>
      <c r="F169" s="40"/>
      <c r="G169" s="41"/>
      <c r="H169" s="37"/>
      <c r="I169" s="33" t="str">
        <f>SUM(G169:H169)</f>
        <v>0</v>
      </c>
      <c r="J169" s="34"/>
      <c r="K169" s="41"/>
      <c r="L169" s="42"/>
      <c r="M169" s="35" t="str">
        <f>SUM(K169:L169)</f>
        <v>0</v>
      </c>
      <c r="N169" s="36" t="str">
        <f>SUM(G169+K169)</f>
        <v>0</v>
      </c>
      <c r="O169" s="37" t="str">
        <f>SUM(H169+L169)</f>
        <v>0</v>
      </c>
      <c r="P169" s="33" t="str">
        <f>SUM(N169:O169)</f>
        <v>0</v>
      </c>
      <c r="Q169" s="33"/>
      <c r="R169" s="51"/>
    </row>
    <row r="170" spans="1:18" customHeight="1" ht="20">
      <c r="A170" s="41"/>
      <c r="B170" s="37"/>
      <c r="C170" s="37"/>
      <c r="D170" s="37"/>
      <c r="E170" s="35"/>
      <c r="F170" s="40"/>
      <c r="G170" s="41"/>
      <c r="H170" s="37"/>
      <c r="I170" s="33" t="str">
        <f>SUM(G170:H170)</f>
        <v>0</v>
      </c>
      <c r="J170" s="34"/>
      <c r="K170" s="41"/>
      <c r="L170" s="42"/>
      <c r="M170" s="35" t="str">
        <f>SUM(K170:L170)</f>
        <v>0</v>
      </c>
      <c r="N170" s="36" t="str">
        <f>SUM(G170+K170)</f>
        <v>0</v>
      </c>
      <c r="O170" s="37" t="str">
        <f>SUM(H170+L170)</f>
        <v>0</v>
      </c>
      <c r="P170" s="33" t="str">
        <f>SUM(N170:O170)</f>
        <v>0</v>
      </c>
      <c r="Q170" s="33"/>
      <c r="R170" s="51"/>
    </row>
    <row r="171" spans="1:18" customHeight="1" ht="20">
      <c r="A171" s="41"/>
      <c r="B171" s="37"/>
      <c r="C171" s="37"/>
      <c r="D171" s="37"/>
      <c r="E171" s="35"/>
      <c r="F171" s="40"/>
      <c r="G171" s="41"/>
      <c r="H171" s="37"/>
      <c r="I171" s="33" t="str">
        <f>SUM(G171:H171)</f>
        <v>0</v>
      </c>
      <c r="J171" s="34"/>
      <c r="K171" s="41"/>
      <c r="L171" s="42"/>
      <c r="M171" s="35" t="str">
        <f>SUM(K171:L171)</f>
        <v>0</v>
      </c>
      <c r="N171" s="36" t="str">
        <f>SUM(G171+K171)</f>
        <v>0</v>
      </c>
      <c r="O171" s="37" t="str">
        <f>SUM(H171+L171)</f>
        <v>0</v>
      </c>
      <c r="P171" s="33" t="str">
        <f>SUM(N171:O171)</f>
        <v>0</v>
      </c>
      <c r="Q171" s="33"/>
      <c r="R171" s="51"/>
    </row>
    <row r="172" spans="1:18" customHeight="1" ht="20">
      <c r="A172" s="41"/>
      <c r="B172" s="37"/>
      <c r="C172" s="37"/>
      <c r="D172" s="37"/>
      <c r="E172" s="35"/>
      <c r="F172" s="40"/>
      <c r="G172" s="41"/>
      <c r="H172" s="37"/>
      <c r="I172" s="33" t="str">
        <f>SUM(G172:H172)</f>
        <v>0</v>
      </c>
      <c r="J172" s="34"/>
      <c r="K172" s="41"/>
      <c r="L172" s="42"/>
      <c r="M172" s="35" t="str">
        <f>SUM(K172:L172)</f>
        <v>0</v>
      </c>
      <c r="N172" s="36" t="str">
        <f>SUM(G172+K172)</f>
        <v>0</v>
      </c>
      <c r="O172" s="37" t="str">
        <f>SUM(H172+L172)</f>
        <v>0</v>
      </c>
      <c r="P172" s="33" t="str">
        <f>SUM(N172:O172)</f>
        <v>0</v>
      </c>
      <c r="Q172" s="33"/>
      <c r="R172" s="51"/>
    </row>
    <row r="173" spans="1:18" customHeight="1" ht="20">
      <c r="A173" s="41"/>
      <c r="B173" s="37"/>
      <c r="C173" s="37"/>
      <c r="D173" s="37"/>
      <c r="E173" s="35"/>
      <c r="F173" s="40"/>
      <c r="G173" s="41"/>
      <c r="H173" s="37"/>
      <c r="I173" s="33" t="str">
        <f>SUM(G173:H173)</f>
        <v>0</v>
      </c>
      <c r="J173" s="34"/>
      <c r="K173" s="41"/>
      <c r="L173" s="42"/>
      <c r="M173" s="35" t="str">
        <f>SUM(K173:L173)</f>
        <v>0</v>
      </c>
      <c r="N173" s="36" t="str">
        <f>SUM(G173+K173)</f>
        <v>0</v>
      </c>
      <c r="O173" s="37" t="str">
        <f>SUM(H173+L173)</f>
        <v>0</v>
      </c>
      <c r="P173" s="33" t="str">
        <f>SUM(N173:O173)</f>
        <v>0</v>
      </c>
      <c r="Q173" s="33"/>
      <c r="R173" s="51"/>
    </row>
    <row r="174" spans="1:18" customHeight="1" ht="20">
      <c r="A174" s="41"/>
      <c r="B174" s="37"/>
      <c r="C174" s="37"/>
      <c r="D174" s="37"/>
      <c r="E174" s="35"/>
      <c r="F174" s="40"/>
      <c r="G174" s="41"/>
      <c r="H174" s="37"/>
      <c r="I174" s="33" t="str">
        <f>SUM(G174:H174)</f>
        <v>0</v>
      </c>
      <c r="J174" s="34"/>
      <c r="K174" s="41"/>
      <c r="L174" s="42"/>
      <c r="M174" s="35" t="str">
        <f>SUM(K174:L174)</f>
        <v>0</v>
      </c>
      <c r="N174" s="36" t="str">
        <f>SUM(G174+K174)</f>
        <v>0</v>
      </c>
      <c r="O174" s="37" t="str">
        <f>SUM(H174+L174)</f>
        <v>0</v>
      </c>
      <c r="P174" s="33" t="str">
        <f>SUM(N174:O174)</f>
        <v>0</v>
      </c>
      <c r="Q174" s="33"/>
      <c r="R174" s="51"/>
    </row>
    <row r="175" spans="1:18" customHeight="1" ht="20">
      <c r="A175" s="41"/>
      <c r="B175" s="37"/>
      <c r="C175" s="37"/>
      <c r="D175" s="37"/>
      <c r="E175" s="35"/>
      <c r="F175" s="40"/>
      <c r="G175" s="41"/>
      <c r="H175" s="37"/>
      <c r="I175" s="33" t="str">
        <f>SUM(G175:H175)</f>
        <v>0</v>
      </c>
      <c r="J175" s="34"/>
      <c r="K175" s="41"/>
      <c r="L175" s="42"/>
      <c r="M175" s="35" t="str">
        <f>SUM(K175:L175)</f>
        <v>0</v>
      </c>
      <c r="N175" s="36" t="str">
        <f>SUM(G175+K175)</f>
        <v>0</v>
      </c>
      <c r="O175" s="37" t="str">
        <f>SUM(H175+L175)</f>
        <v>0</v>
      </c>
      <c r="P175" s="33" t="str">
        <f>SUM(N175:O175)</f>
        <v>0</v>
      </c>
      <c r="Q175" s="33"/>
      <c r="R175" s="51"/>
    </row>
    <row r="176" spans="1:18" customHeight="1" ht="20">
      <c r="A176" s="41"/>
      <c r="B176" s="37"/>
      <c r="C176" s="37"/>
      <c r="D176" s="37"/>
      <c r="E176" s="35"/>
      <c r="F176" s="40"/>
      <c r="G176" s="41"/>
      <c r="H176" s="37"/>
      <c r="I176" s="33" t="str">
        <f>SUM(G176:H176)</f>
        <v>0</v>
      </c>
      <c r="J176" s="34"/>
      <c r="K176" s="41"/>
      <c r="L176" s="42"/>
      <c r="M176" s="35" t="str">
        <f>SUM(K176:L176)</f>
        <v>0</v>
      </c>
      <c r="N176" s="36" t="str">
        <f>SUM(G176+K176)</f>
        <v>0</v>
      </c>
      <c r="O176" s="37" t="str">
        <f>SUM(H176+L176)</f>
        <v>0</v>
      </c>
      <c r="P176" s="33" t="str">
        <f>SUM(N176:O176)</f>
        <v>0</v>
      </c>
      <c r="Q176" s="33"/>
      <c r="R176" s="51"/>
    </row>
    <row r="177" spans="1:18" customHeight="1" ht="20">
      <c r="A177" s="41"/>
      <c r="B177" s="37"/>
      <c r="C177" s="37"/>
      <c r="D177" s="37"/>
      <c r="E177" s="35"/>
      <c r="F177" s="40"/>
      <c r="G177" s="41"/>
      <c r="H177" s="37"/>
      <c r="I177" s="33" t="str">
        <f>SUM(G177:H177)</f>
        <v>0</v>
      </c>
      <c r="J177" s="34"/>
      <c r="K177" s="41"/>
      <c r="L177" s="42"/>
      <c r="M177" s="35" t="str">
        <f>SUM(K177:L177)</f>
        <v>0</v>
      </c>
      <c r="N177" s="36" t="str">
        <f>SUM(G177+K177)</f>
        <v>0</v>
      </c>
      <c r="O177" s="37" t="str">
        <f>SUM(H177+L177)</f>
        <v>0</v>
      </c>
      <c r="P177" s="33" t="str">
        <f>SUM(N177:O177)</f>
        <v>0</v>
      </c>
      <c r="Q177" s="33"/>
      <c r="R177" s="51"/>
    </row>
    <row r="178" spans="1:18" customHeight="1" ht="20">
      <c r="A178" s="41"/>
      <c r="B178" s="37"/>
      <c r="C178" s="37"/>
      <c r="D178" s="37"/>
      <c r="E178" s="35"/>
      <c r="F178" s="40"/>
      <c r="G178" s="41"/>
      <c r="H178" s="37"/>
      <c r="I178" s="33" t="str">
        <f>SUM(G178:H178)</f>
        <v>0</v>
      </c>
      <c r="J178" s="34"/>
      <c r="K178" s="41"/>
      <c r="L178" s="42"/>
      <c r="M178" s="35" t="str">
        <f>SUM(K178:L178)</f>
        <v>0</v>
      </c>
      <c r="N178" s="36" t="str">
        <f>SUM(G178+K178)</f>
        <v>0</v>
      </c>
      <c r="O178" s="37" t="str">
        <f>SUM(H178+L178)</f>
        <v>0</v>
      </c>
      <c r="P178" s="33" t="str">
        <f>SUM(N178:O178)</f>
        <v>0</v>
      </c>
      <c r="Q178" s="33"/>
      <c r="R178" s="51"/>
    </row>
    <row r="179" spans="1:18" customHeight="1" ht="20">
      <c r="A179" s="41"/>
      <c r="B179" s="37"/>
      <c r="C179" s="37"/>
      <c r="D179" s="37"/>
      <c r="E179" s="35"/>
      <c r="F179" s="40"/>
      <c r="G179" s="41"/>
      <c r="H179" s="37"/>
      <c r="I179" s="33" t="str">
        <f>SUM(G179:H179)</f>
        <v>0</v>
      </c>
      <c r="J179" s="34"/>
      <c r="K179" s="41"/>
      <c r="L179" s="42"/>
      <c r="M179" s="35" t="str">
        <f>SUM(K179:L179)</f>
        <v>0</v>
      </c>
      <c r="N179" s="36" t="str">
        <f>SUM(G179+K179)</f>
        <v>0</v>
      </c>
      <c r="O179" s="37" t="str">
        <f>SUM(H179+L179)</f>
        <v>0</v>
      </c>
      <c r="P179" s="33" t="str">
        <f>SUM(N179:O179)</f>
        <v>0</v>
      </c>
      <c r="Q179" s="33"/>
      <c r="R179" s="51"/>
    </row>
    <row r="180" spans="1:18" customHeight="1" ht="20">
      <c r="A180" s="41"/>
      <c r="B180" s="37"/>
      <c r="C180" s="37"/>
      <c r="D180" s="37"/>
      <c r="E180" s="35"/>
      <c r="F180" s="40"/>
      <c r="G180" s="41"/>
      <c r="H180" s="37"/>
      <c r="I180" s="33" t="str">
        <f>SUM(G180:H180)</f>
        <v>0</v>
      </c>
      <c r="J180" s="34"/>
      <c r="K180" s="41"/>
      <c r="L180" s="42"/>
      <c r="M180" s="35" t="str">
        <f>SUM(K180:L180)</f>
        <v>0</v>
      </c>
      <c r="N180" s="36" t="str">
        <f>SUM(G180+K180)</f>
        <v>0</v>
      </c>
      <c r="O180" s="37" t="str">
        <f>SUM(H180+L180)</f>
        <v>0</v>
      </c>
      <c r="P180" s="33" t="str">
        <f>SUM(N180:O180)</f>
        <v>0</v>
      </c>
      <c r="Q180" s="33"/>
      <c r="R180" s="51"/>
    </row>
    <row r="181" spans="1:18" customHeight="1" ht="20">
      <c r="A181" s="41"/>
      <c r="B181" s="37"/>
      <c r="C181" s="37"/>
      <c r="D181" s="37"/>
      <c r="E181" s="35"/>
      <c r="F181" s="40"/>
      <c r="G181" s="41"/>
      <c r="H181" s="37"/>
      <c r="I181" s="33" t="str">
        <f>SUM(G181:H181)</f>
        <v>0</v>
      </c>
      <c r="J181" s="34"/>
      <c r="K181" s="41"/>
      <c r="L181" s="42"/>
      <c r="M181" s="35" t="str">
        <f>SUM(K181:L181)</f>
        <v>0</v>
      </c>
      <c r="N181" s="36" t="str">
        <f>SUM(G181+K181)</f>
        <v>0</v>
      </c>
      <c r="O181" s="37" t="str">
        <f>SUM(H181+L181)</f>
        <v>0</v>
      </c>
      <c r="P181" s="33" t="str">
        <f>SUM(N181:O181)</f>
        <v>0</v>
      </c>
      <c r="Q181" s="33"/>
      <c r="R181" s="51"/>
    </row>
    <row r="182" spans="1:18" customHeight="1" ht="20">
      <c r="A182" s="41"/>
      <c r="B182" s="37"/>
      <c r="C182" s="37"/>
      <c r="D182" s="37"/>
      <c r="E182" s="35"/>
      <c r="F182" s="40"/>
      <c r="G182" s="41"/>
      <c r="H182" s="37"/>
      <c r="I182" s="33" t="str">
        <f>SUM(G182:H182)</f>
        <v>0</v>
      </c>
      <c r="J182" s="34"/>
      <c r="K182" s="41"/>
      <c r="L182" s="42"/>
      <c r="M182" s="35" t="str">
        <f>SUM(K182:L182)</f>
        <v>0</v>
      </c>
      <c r="N182" s="36" t="str">
        <f>SUM(G182+K182)</f>
        <v>0</v>
      </c>
      <c r="O182" s="37" t="str">
        <f>SUM(H182+L182)</f>
        <v>0</v>
      </c>
      <c r="P182" s="33" t="str">
        <f>SUM(N182:O182)</f>
        <v>0</v>
      </c>
      <c r="Q182" s="33"/>
      <c r="R182" s="51"/>
    </row>
    <row r="183" spans="1:18" customHeight="1" ht="20">
      <c r="A183" s="41"/>
      <c r="B183" s="37"/>
      <c r="C183" s="37"/>
      <c r="D183" s="37"/>
      <c r="E183" s="35"/>
      <c r="F183" s="40"/>
      <c r="G183" s="41"/>
      <c r="H183" s="37"/>
      <c r="I183" s="33" t="str">
        <f>SUM(G183:H183)</f>
        <v>0</v>
      </c>
      <c r="J183" s="34"/>
      <c r="K183" s="41"/>
      <c r="L183" s="42"/>
      <c r="M183" s="35" t="str">
        <f>SUM(K183:L183)</f>
        <v>0</v>
      </c>
      <c r="N183" s="36" t="str">
        <f>SUM(G183+K183)</f>
        <v>0</v>
      </c>
      <c r="O183" s="37" t="str">
        <f>SUM(H183+L183)</f>
        <v>0</v>
      </c>
      <c r="P183" s="33" t="str">
        <f>SUM(N183:O183)</f>
        <v>0</v>
      </c>
      <c r="Q183" s="33"/>
      <c r="R183" s="51"/>
    </row>
    <row r="184" spans="1:18" customHeight="1" ht="20">
      <c r="A184" s="41"/>
      <c r="B184" s="37"/>
      <c r="C184" s="37"/>
      <c r="D184" s="37"/>
      <c r="E184" s="35"/>
      <c r="F184" s="40"/>
      <c r="G184" s="41"/>
      <c r="H184" s="37"/>
      <c r="I184" s="33" t="str">
        <f>SUM(G184:H184)</f>
        <v>0</v>
      </c>
      <c r="J184" s="34"/>
      <c r="K184" s="41"/>
      <c r="L184" s="42"/>
      <c r="M184" s="35" t="str">
        <f>SUM(K184:L184)</f>
        <v>0</v>
      </c>
      <c r="N184" s="36" t="str">
        <f>SUM(G184+K184)</f>
        <v>0</v>
      </c>
      <c r="O184" s="37" t="str">
        <f>SUM(H184+L184)</f>
        <v>0</v>
      </c>
      <c r="P184" s="33" t="str">
        <f>SUM(N184:O184)</f>
        <v>0</v>
      </c>
      <c r="Q184" s="33"/>
      <c r="R184" s="51"/>
    </row>
    <row r="185" spans="1:18" customHeight="1" ht="20">
      <c r="A185" s="41"/>
      <c r="B185" s="37"/>
      <c r="C185" s="37"/>
      <c r="D185" s="37"/>
      <c r="E185" s="35"/>
      <c r="F185" s="40"/>
      <c r="G185" s="41"/>
      <c r="H185" s="37"/>
      <c r="I185" s="33" t="str">
        <f>SUM(G185:H185)</f>
        <v>0</v>
      </c>
      <c r="J185" s="34"/>
      <c r="K185" s="41"/>
      <c r="L185" s="42"/>
      <c r="M185" s="35" t="str">
        <f>SUM(K185:L185)</f>
        <v>0</v>
      </c>
      <c r="N185" s="36" t="str">
        <f>SUM(G185+K185)</f>
        <v>0</v>
      </c>
      <c r="O185" s="37" t="str">
        <f>SUM(H185+L185)</f>
        <v>0</v>
      </c>
      <c r="P185" s="33" t="str">
        <f>SUM(N185:O185)</f>
        <v>0</v>
      </c>
      <c r="Q185" s="33"/>
      <c r="R185" s="51"/>
    </row>
    <row r="186" spans="1:18" customHeight="1" ht="20">
      <c r="A186" s="41"/>
      <c r="B186" s="37"/>
      <c r="C186" s="37"/>
      <c r="D186" s="37"/>
      <c r="E186" s="35"/>
      <c r="F186" s="40"/>
      <c r="G186" s="41"/>
      <c r="H186" s="37"/>
      <c r="I186" s="33" t="str">
        <f>SUM(G186:H186)</f>
        <v>0</v>
      </c>
      <c r="J186" s="34"/>
      <c r="K186" s="41"/>
      <c r="L186" s="42"/>
      <c r="M186" s="35" t="str">
        <f>SUM(K186:L186)</f>
        <v>0</v>
      </c>
      <c r="N186" s="36" t="str">
        <f>SUM(G186+K186)</f>
        <v>0</v>
      </c>
      <c r="O186" s="37" t="str">
        <f>SUM(H186+L186)</f>
        <v>0</v>
      </c>
      <c r="P186" s="33" t="str">
        <f>SUM(N186:O186)</f>
        <v>0</v>
      </c>
      <c r="Q186" s="33"/>
      <c r="R186" s="51"/>
    </row>
    <row r="187" spans="1:18" customHeight="1" ht="20">
      <c r="A187" s="41"/>
      <c r="B187" s="37"/>
      <c r="C187" s="37"/>
      <c r="D187" s="37"/>
      <c r="E187" s="35"/>
      <c r="F187" s="40"/>
      <c r="G187" s="41"/>
      <c r="H187" s="37"/>
      <c r="I187" s="33" t="str">
        <f>SUM(G187:H187)</f>
        <v>0</v>
      </c>
      <c r="J187" s="34"/>
      <c r="K187" s="41"/>
      <c r="L187" s="42"/>
      <c r="M187" s="35" t="str">
        <f>SUM(K187:L187)</f>
        <v>0</v>
      </c>
      <c r="N187" s="36" t="str">
        <f>SUM(G187+K187)</f>
        <v>0</v>
      </c>
      <c r="O187" s="37" t="str">
        <f>SUM(H187+L187)</f>
        <v>0</v>
      </c>
      <c r="P187" s="33" t="str">
        <f>SUM(N187:O187)</f>
        <v>0</v>
      </c>
      <c r="Q187" s="33"/>
      <c r="R187" s="51"/>
    </row>
    <row r="188" spans="1:18" customHeight="1" ht="20">
      <c r="A188" s="41"/>
      <c r="B188" s="37"/>
      <c r="C188" s="37"/>
      <c r="D188" s="37"/>
      <c r="E188" s="35"/>
      <c r="F188" s="40"/>
      <c r="G188" s="41"/>
      <c r="H188" s="37"/>
      <c r="I188" s="33" t="str">
        <f>SUM(G188:H188)</f>
        <v>0</v>
      </c>
      <c r="J188" s="34"/>
      <c r="K188" s="41"/>
      <c r="L188" s="42"/>
      <c r="M188" s="35" t="str">
        <f>SUM(K188:L188)</f>
        <v>0</v>
      </c>
      <c r="N188" s="36" t="str">
        <f>SUM(G188+K188)</f>
        <v>0</v>
      </c>
      <c r="O188" s="37" t="str">
        <f>SUM(H188+L188)</f>
        <v>0</v>
      </c>
      <c r="P188" s="33" t="str">
        <f>SUM(N188:O188)</f>
        <v>0</v>
      </c>
      <c r="Q188" s="33"/>
      <c r="R188" s="51"/>
    </row>
    <row r="189" spans="1:18" customHeight="1" ht="20">
      <c r="A189" s="41"/>
      <c r="B189" s="37"/>
      <c r="C189" s="37"/>
      <c r="D189" s="37"/>
      <c r="E189" s="35"/>
      <c r="F189" s="40"/>
      <c r="G189" s="41"/>
      <c r="H189" s="37"/>
      <c r="I189" s="33" t="str">
        <f>SUM(G189:H189)</f>
        <v>0</v>
      </c>
      <c r="J189" s="34"/>
      <c r="K189" s="41"/>
      <c r="L189" s="42"/>
      <c r="M189" s="35" t="str">
        <f>SUM(K189:L189)</f>
        <v>0</v>
      </c>
      <c r="N189" s="36" t="str">
        <f>SUM(G189+K189)</f>
        <v>0</v>
      </c>
      <c r="O189" s="37" t="str">
        <f>SUM(H189+L189)</f>
        <v>0</v>
      </c>
      <c r="P189" s="33" t="str">
        <f>SUM(N189:O189)</f>
        <v>0</v>
      </c>
      <c r="Q189" s="33"/>
      <c r="R189" s="51"/>
    </row>
    <row r="190" spans="1:18" customHeight="1" ht="20">
      <c r="A190" s="41"/>
      <c r="B190" s="37"/>
      <c r="C190" s="37"/>
      <c r="D190" s="37"/>
      <c r="E190" s="35"/>
      <c r="F190" s="40"/>
      <c r="G190" s="41"/>
      <c r="H190" s="37"/>
      <c r="I190" s="33" t="str">
        <f>SUM(G190:H190)</f>
        <v>0</v>
      </c>
      <c r="J190" s="34"/>
      <c r="K190" s="41"/>
      <c r="L190" s="42"/>
      <c r="M190" s="35" t="str">
        <f>SUM(K190:L190)</f>
        <v>0</v>
      </c>
      <c r="N190" s="36" t="str">
        <f>SUM(G190+K190)</f>
        <v>0</v>
      </c>
      <c r="O190" s="37" t="str">
        <f>SUM(H190+L190)</f>
        <v>0</v>
      </c>
      <c r="P190" s="33" t="str">
        <f>SUM(N190:O190)</f>
        <v>0</v>
      </c>
      <c r="Q190" s="33"/>
      <c r="R190" s="51"/>
    </row>
    <row r="191" spans="1:18" customHeight="1" ht="20">
      <c r="A191" s="41"/>
      <c r="B191" s="37"/>
      <c r="C191" s="37"/>
      <c r="D191" s="37"/>
      <c r="E191" s="35"/>
      <c r="F191" s="40"/>
      <c r="G191" s="41"/>
      <c r="H191" s="37"/>
      <c r="I191" s="33" t="str">
        <f>SUM(G191:H191)</f>
        <v>0</v>
      </c>
      <c r="J191" s="34"/>
      <c r="K191" s="41"/>
      <c r="L191" s="42"/>
      <c r="M191" s="35" t="str">
        <f>SUM(K191:L191)</f>
        <v>0</v>
      </c>
      <c r="N191" s="36" t="str">
        <f>SUM(G191+K191)</f>
        <v>0</v>
      </c>
      <c r="O191" s="37" t="str">
        <f>SUM(H191+L191)</f>
        <v>0</v>
      </c>
      <c r="P191" s="33" t="str">
        <f>SUM(N191:O191)</f>
        <v>0</v>
      </c>
      <c r="Q191" s="33"/>
      <c r="R191" s="51"/>
    </row>
    <row r="192" spans="1:18" customHeight="1" ht="20">
      <c r="A192" s="41"/>
      <c r="B192" s="37"/>
      <c r="C192" s="37"/>
      <c r="D192" s="37"/>
      <c r="E192" s="35"/>
      <c r="F192" s="40"/>
      <c r="G192" s="41"/>
      <c r="H192" s="37"/>
      <c r="I192" s="33" t="str">
        <f>SUM(G192:H192)</f>
        <v>0</v>
      </c>
      <c r="J192" s="34"/>
      <c r="K192" s="41"/>
      <c r="L192" s="42"/>
      <c r="M192" s="35" t="str">
        <f>SUM(K192:L192)</f>
        <v>0</v>
      </c>
      <c r="N192" s="36" t="str">
        <f>SUM(G192+K192)</f>
        <v>0</v>
      </c>
      <c r="O192" s="37" t="str">
        <f>SUM(H192+L192)</f>
        <v>0</v>
      </c>
      <c r="P192" s="33" t="str">
        <f>SUM(N192:O192)</f>
        <v>0</v>
      </c>
      <c r="Q192" s="33"/>
      <c r="R192" s="51"/>
    </row>
    <row r="193" spans="1:18" customHeight="1" ht="20">
      <c r="A193" s="41"/>
      <c r="B193" s="37"/>
      <c r="C193" s="37"/>
      <c r="D193" s="37"/>
      <c r="E193" s="35"/>
      <c r="F193" s="40"/>
      <c r="G193" s="41"/>
      <c r="H193" s="37"/>
      <c r="I193" s="33" t="str">
        <f>SUM(G193:H193)</f>
        <v>0</v>
      </c>
      <c r="J193" s="34"/>
      <c r="K193" s="41"/>
      <c r="L193" s="42"/>
      <c r="M193" s="35" t="str">
        <f>SUM(K193:L193)</f>
        <v>0</v>
      </c>
      <c r="N193" s="36" t="str">
        <f>SUM(G193+K193)</f>
        <v>0</v>
      </c>
      <c r="O193" s="37" t="str">
        <f>SUM(H193+L193)</f>
        <v>0</v>
      </c>
      <c r="P193" s="33" t="str">
        <f>SUM(N193:O193)</f>
        <v>0</v>
      </c>
      <c r="Q193" s="33"/>
      <c r="R193" s="51"/>
    </row>
    <row r="194" spans="1:18" customHeight="1" ht="20">
      <c r="A194" s="41"/>
      <c r="B194" s="37"/>
      <c r="C194" s="37"/>
      <c r="D194" s="37"/>
      <c r="E194" s="35"/>
      <c r="F194" s="40"/>
      <c r="G194" s="41"/>
      <c r="H194" s="37"/>
      <c r="I194" s="33" t="str">
        <f>SUM(G194:H194)</f>
        <v>0</v>
      </c>
      <c r="J194" s="34"/>
      <c r="K194" s="41"/>
      <c r="L194" s="42"/>
      <c r="M194" s="35" t="str">
        <f>SUM(K194:L194)</f>
        <v>0</v>
      </c>
      <c r="N194" s="36" t="str">
        <f>SUM(G194+K194)</f>
        <v>0</v>
      </c>
      <c r="O194" s="37" t="str">
        <f>SUM(H194+L194)</f>
        <v>0</v>
      </c>
      <c r="P194" s="33" t="str">
        <f>SUM(N194:O194)</f>
        <v>0</v>
      </c>
      <c r="Q194" s="33"/>
      <c r="R194" s="51"/>
    </row>
    <row r="195" spans="1:18" customHeight="1" ht="20">
      <c r="A195" s="41"/>
      <c r="B195" s="37"/>
      <c r="C195" s="37"/>
      <c r="D195" s="37"/>
      <c r="E195" s="35"/>
      <c r="F195" s="40"/>
      <c r="G195" s="41"/>
      <c r="H195" s="37"/>
      <c r="I195" s="33" t="str">
        <f>SUM(G195:H195)</f>
        <v>0</v>
      </c>
      <c r="J195" s="34"/>
      <c r="K195" s="41"/>
      <c r="L195" s="42"/>
      <c r="M195" s="35" t="str">
        <f>SUM(K195:L195)</f>
        <v>0</v>
      </c>
      <c r="N195" s="36" t="str">
        <f>SUM(G195+K195)</f>
        <v>0</v>
      </c>
      <c r="O195" s="37" t="str">
        <f>SUM(H195+L195)</f>
        <v>0</v>
      </c>
      <c r="P195" s="33" t="str">
        <f>SUM(N195:O195)</f>
        <v>0</v>
      </c>
      <c r="Q195" s="33"/>
      <c r="R195" s="51"/>
    </row>
    <row r="196" spans="1:18" customHeight="1" ht="20">
      <c r="A196" s="41"/>
      <c r="B196" s="37"/>
      <c r="C196" s="37"/>
      <c r="D196" s="37"/>
      <c r="E196" s="35"/>
      <c r="F196" s="40"/>
      <c r="G196" s="41"/>
      <c r="H196" s="37"/>
      <c r="I196" s="33" t="str">
        <f>SUM(G196:H196)</f>
        <v>0</v>
      </c>
      <c r="J196" s="34"/>
      <c r="K196" s="41"/>
      <c r="L196" s="42"/>
      <c r="M196" s="35" t="str">
        <f>SUM(K196:L196)</f>
        <v>0</v>
      </c>
      <c r="N196" s="36" t="str">
        <f>SUM(G196+K196)</f>
        <v>0</v>
      </c>
      <c r="O196" s="37" t="str">
        <f>SUM(H196+L196)</f>
        <v>0</v>
      </c>
      <c r="P196" s="33" t="str">
        <f>SUM(N196:O196)</f>
        <v>0</v>
      </c>
      <c r="Q196" s="33"/>
      <c r="R196" s="51"/>
    </row>
    <row r="197" spans="1:18" customHeight="1" ht="20">
      <c r="A197" s="41"/>
      <c r="B197" s="37"/>
      <c r="C197" s="37"/>
      <c r="D197" s="37"/>
      <c r="E197" s="35"/>
      <c r="F197" s="40"/>
      <c r="G197" s="41"/>
      <c r="H197" s="37"/>
      <c r="I197" s="33" t="str">
        <f>SUM(G197:H197)</f>
        <v>0</v>
      </c>
      <c r="J197" s="34"/>
      <c r="K197" s="41"/>
      <c r="L197" s="42"/>
      <c r="M197" s="35" t="str">
        <f>SUM(K197:L197)</f>
        <v>0</v>
      </c>
      <c r="N197" s="36" t="str">
        <f>SUM(G197+K197)</f>
        <v>0</v>
      </c>
      <c r="O197" s="37" t="str">
        <f>SUM(H197+L197)</f>
        <v>0</v>
      </c>
      <c r="P197" s="33" t="str">
        <f>SUM(N197:O197)</f>
        <v>0</v>
      </c>
      <c r="Q197" s="33"/>
      <c r="R197" s="51"/>
    </row>
    <row r="198" spans="1:18" customHeight="1" ht="20">
      <c r="A198" s="41"/>
      <c r="B198" s="37"/>
      <c r="C198" s="37"/>
      <c r="D198" s="37"/>
      <c r="E198" s="35"/>
      <c r="F198" s="40"/>
      <c r="G198" s="41"/>
      <c r="H198" s="37"/>
      <c r="I198" s="33" t="str">
        <f>SUM(G198:H198)</f>
        <v>0</v>
      </c>
      <c r="J198" s="34"/>
      <c r="K198" s="41"/>
      <c r="L198" s="42"/>
      <c r="M198" s="35" t="str">
        <f>SUM(K198:L198)</f>
        <v>0</v>
      </c>
      <c r="N198" s="36" t="str">
        <f>SUM(G198+K198)</f>
        <v>0</v>
      </c>
      <c r="O198" s="37" t="str">
        <f>SUM(H198+L198)</f>
        <v>0</v>
      </c>
      <c r="P198" s="33" t="str">
        <f>SUM(N198:O198)</f>
        <v>0</v>
      </c>
      <c r="Q198" s="33"/>
      <c r="R198" s="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E7"/>
    <mergeCell ref="G7:I7"/>
    <mergeCell ref="K7:M7"/>
    <mergeCell ref="N7:Q7"/>
    <mergeCell ref="A1:Q1"/>
    <mergeCell ref="A2:Q2"/>
    <mergeCell ref="A3:Q3"/>
    <mergeCell ref="A4:Q4"/>
    <mergeCell ref="A5:Q5"/>
    <mergeCell ref="A6:Q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  <col min="3" max="3" width="25" customWidth="true" style="0"/>
    <col min="5" max="5" width="10.568848" bestFit="true" customWidth="true" style="0"/>
  </cols>
  <sheetData>
    <row r="1" spans="1:5">
      <c r="A1" s="0" t="s">
        <v>230</v>
      </c>
      <c r="B1" s="0" t="s">
        <v>231</v>
      </c>
      <c r="C1" s="0" t="s">
        <v>174</v>
      </c>
      <c r="D1" s="0" t="s">
        <v>232</v>
      </c>
      <c r="E1" s="0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Results</vt:lpstr>
      <vt:lpstr>Measurements</vt:lpstr>
      <vt:lpstr>Masters Scoring</vt:lpstr>
      <vt:lpstr>Masters Byes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Scott</cp:lastModifiedBy>
  <dcterms:created xsi:type="dcterms:W3CDTF">2015-06-29T09:23:50-06:00</dcterms:created>
  <dcterms:modified xsi:type="dcterms:W3CDTF">2024-09-25T22:04:03-06:00</dcterms:modified>
  <dc:title/>
  <dc:description/>
  <dc:subject/>
  <cp:keywords/>
  <cp:category/>
</cp:coreProperties>
</file>